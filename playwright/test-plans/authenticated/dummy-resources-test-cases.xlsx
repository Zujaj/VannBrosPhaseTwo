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 name="Summary" sheetId="2" state="visible" r:id="rId4"/>
    <sheet name="ADO 26191" sheetId="3" state="visible" r:id="rId5"/>
    <sheet name="Client Mapping" sheetId="4" state="visible" r:id="rId6"/>
  </sheets>
  <definedNames>
    <definedName function="false" hidden="true" localSheetId="3" name="_xlnm._FilterDatabase" vbProcedure="false">'Client Mapping'!$A$4:$F$52</definedName>
    <definedName function="false" hidden="true" localSheetId="0" name="_xlnm._FilterDatabase" vbProcedure="false">'Test Cases'!$A$5:$Q$47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<sst xmlns="http://schemas.openxmlformats.org/spreadsheetml/2006/main" count="1067" uniqueCount="540">
  <si>
    <t xml:space="preserve">Dummy Resources (PSD v2) — Test Cases</t>
  </si>
  <si>
    <t xml:space="preserve">Source: resources/product-specifications-document/AgriERP FSCM - Dummy Resources v2.pdf. Plan: playwright/test-plans/authenticated/dummy-resources.md. Updated 2026-09-30: ADO #26191 impact areas added (DRI-01..06); v2 released on QA, web cases re-verified live (FINDINGS #47–#49); cross-checked against client sheet AgriERP_Dummy_Resource_Test_Cases.xlsx.</t>
  </si>
  <si>
    <t xml:space="preserve">Legend: Change — green = New, yellow = Updated (PSD revision 2026-09-29), white = Existing. Fill in the Result column (Pass / Fail / Blocked / Not Run) when executing. Results pre-filled from the 2026-09-30 automated runs on QA (web UI + DummyShift API; DRM results cover the server rules, not the mobile screens).</t>
  </si>
  <si>
    <t xml:space="preserve">ID</t>
  </si>
  <si>
    <t xml:space="preserve">Title</t>
  </si>
  <si>
    <t xml:space="preserve">Change</t>
  </si>
  <si>
    <t xml:space="preserve">Section</t>
  </si>
  <si>
    <t xml:space="preserve">Role</t>
  </si>
  <si>
    <t xml:space="preserve">Platform</t>
  </si>
  <si>
    <t xml:space="preserve">Priority</t>
  </si>
  <si>
    <t xml:space="preserve">Type</t>
  </si>
  <si>
    <t xml:space="preserve">Preconditions</t>
  </si>
  <si>
    <t xml:space="preserve">Steps</t>
  </si>
  <si>
    <t xml:space="preserve">Test data</t>
  </si>
  <si>
    <t xml:space="preserve">Expected result</t>
  </si>
  <si>
    <t xml:space="preserve">PSD reference</t>
  </si>
  <si>
    <t xml:space="preserve">Automation</t>
  </si>
  <si>
    <t xml:space="preserve">Notes</t>
  </si>
  <si>
    <t xml:space="preserve">Client TC IDs</t>
  </si>
  <si>
    <t xml:space="preserve">Result</t>
  </si>
  <si>
    <t xml:space="preserve">DR-01</t>
  </si>
  <si>
    <t xml:space="preserve">A dummy resource on the web form takes no quantity (entered on mobile at Start Job)</t>
  </si>
  <si>
    <t xml:space="preserve">Updated</t>
  </si>
  <si>
    <t xml:space="preserve">Selecting dummy resources</t>
  </si>
  <si>
    <t xml:space="preserve">Admin / Manager</t>
  </si>
  <si>
    <t xml:space="preserve">Web</t>
  </si>
  <si>
    <t xml:space="preserve">P1</t>
  </si>
  <si>
    <t xml:space="preserve">Functional / Smoke</t>
  </si>
  <si>
    <t xml:space="preserve">Logged in to the Farm Web App as Admin / Manager (VBS tenant, QA env). Work Orders → Create New Work Order (Planned) is open with Farm, Operation and Plot set — Add Resources stays inert until all three are set.</t>
  </si>
  <si>
    <t xml:space="preserve">1. Click '+' → Add Dummy Resource.
2. Tick a dummy resource and Save.
3. Look at the resource row and the grid's columns.</t>
  </si>
  <si>
    <t xml:space="preserve">Machine Operator (DM001)</t>
  </si>
  <si>
    <t xml:space="preserve">The row is added with the DUMMY RESOURCE badge; the grid has no No Of Resource column and the row has no number input. The quantity is entered on the mobile app when the job starts.</t>
  </si>
  <si>
    <t xml:space="preserve">AgriERP FSCM - Dummy Resources v2.pdf — Figure 1 (p.7) mock; Farm Operations Manager journey steps 3–8 (p.25)</t>
  </si>
  <si>
    <t xml:space="preserve">✅ Automated</t>
  </si>
  <si>
    <t xml:space="preserve">Corrected 2026-09-30: FINDINGS #47 / ADO #26454 withdrawn — the quantity is not a web field.</t>
  </si>
  <si>
    <t xml:space="preserve">—</t>
  </si>
  <si>
    <t xml:space="preserve">Pass</t>
  </si>
  <si>
    <t xml:space="preserve">DR-02</t>
  </si>
  <si>
    <t xml:space="preserve">Select Resources '+' offers Add Resource and Add Dummy Resource</t>
  </si>
  <si>
    <t xml:space="preserve">Existing</t>
  </si>
  <si>
    <t xml:space="preserve">P2</t>
  </si>
  <si>
    <t xml:space="preserve">Functional</t>
  </si>
  <si>
    <t xml:space="preserve">1. On the Select Resources header, click the '+' icon.</t>
  </si>
  <si>
    <t xml:space="preserve">A dropdown opens with exactly two items: Add Resource and Add Dummy Resource (standard AgriERP menu style).</t>
  </si>
  <si>
    <t xml:space="preserve">AgriERP FSCM - Dummy Resources v2.pdf — Mocks, Figure 1 (p.7)</t>
  </si>
  <si>
    <t xml:space="preserve">QA still serves v1 (FINDINGS #34).</t>
  </si>
  <si>
    <t xml:space="preserve">WEB-001</t>
  </si>
  <si>
    <t xml:space="preserve">DR-03</t>
  </si>
  <si>
    <t xml:space="preserve">Add Dummy Resource opens the dummy register</t>
  </si>
  <si>
    <t xml:space="preserve">1. Click '+' → Add Dummy Resource.
2. Inspect the panel heading, filters and rows.</t>
  </si>
  <si>
    <t xml:space="preserve">Panel heading reads Dummy Resource; Resource Group, Search By Resource Name and Search By Company Name filters present; no Dummy Resource Yes/No toggle; only the dummy register is listed (8 rows, e.g. Irrigator (DM002)).</t>
  </si>
  <si>
    <t xml:space="preserve">AgriERP FSCM - Dummy Resources v2.pdf — Figure 2 (p.8); Supervisor journey steps 4–5</t>
  </si>
  <si>
    <t xml:space="preserve">WEB-002, WEB-003, WEB-010</t>
  </si>
  <si>
    <t xml:space="preserve">DR-04</t>
  </si>
  <si>
    <t xml:space="preserve">Add Resource lists named resources only</t>
  </si>
  <si>
    <t xml:space="preserve">Functional / Negative</t>
  </si>
  <si>
    <t xml:space="preserve">1. Click '+' → Add Resource.
2. Inspect the rows and filters.</t>
  </si>
  <si>
    <t xml:space="preserve">No Dummy Resource toggle; no row carries the Dummy Resource chip.</t>
  </si>
  <si>
    <t xml:space="preserve">AgriERP FSCM - Dummy Resources v2.pdf — Solution Overview (register chosen before the page opens)</t>
  </si>
  <si>
    <t xml:space="preserve">WEB-003, WEB-009, WEB-010</t>
  </si>
  <si>
    <t xml:space="preserve">DR-05</t>
  </si>
  <si>
    <t xml:space="preserve">Dummy resource row on the form shows the yellow chip</t>
  </si>
  <si>
    <t xml:space="preserve">P3</t>
  </si>
  <si>
    <t xml:space="preserve">UI</t>
  </si>
  <si>
    <t xml:space="preserve">Logged in to the Farm Web App as Admin / Manager (VBS tenant, QA env). Work Orders → Create New Work Order (Planned) is open with Farm, Operation and Plot set — Add Resources stays inert until all three are set. A dummy resource has been added to the WO.</t>
  </si>
  <si>
    <t xml:space="preserve">1. Look at the dummy resource row under Select Resources.</t>
  </si>
  <si>
    <t xml:space="preserve">Row shows the yellow DUMMY RESOURCE badge (title Dummy Resource) beside the name.</t>
  </si>
  <si>
    <t xml:space="preserve">AgriERP FSCM - Dummy Resources v2.pdf — Figure 1 (p.7)</t>
  </si>
  <si>
    <t xml:space="preserve">WEB-008</t>
  </si>
  <si>
    <t xml:space="preserve">DR-06</t>
  </si>
  <si>
    <t xml:space="preserve">RETIRED — web save blocked without a quantity</t>
  </si>
  <si>
    <t xml:space="preserve">Validation</t>
  </si>
  <si>
    <t xml:space="preserve">Retired 2026-09-30: the quantity is not a web field (Figure 1; Manager journey steps 6–8). The Mandatory Fields rule applies at Start Job and is covered by DRM-04.</t>
  </si>
  <si>
    <t xml:space="preserve">AgriERP FSCM - Dummy Resources v2.pdf — Validation Rules → Mandatory Fields</t>
  </si>
  <si>
    <t xml:space="preserve">Retired — see DRM-04 (API)</t>
  </si>
  <si>
    <t xml:space="preserve">FINDINGS #47 withdrawn.</t>
  </si>
  <si>
    <t xml:space="preserve">Not Run</t>
  </si>
  <si>
    <t xml:space="preserve">DR-07</t>
  </si>
  <si>
    <t xml:space="preserve">Dummy resource hours show on web: resource list, Spent Hours, WO logs, Hour Log Adjustment</t>
  </si>
  <si>
    <t xml:space="preserve">Hours &amp; integration</t>
  </si>
  <si>
    <t xml:space="preserve">Functional / Integration</t>
  </si>
  <si>
    <t xml:space="preserve">Logged in to the Farm Web App as Admin / Manager. An In Progress WO has at least one dummy resource shift logged on mobile.</t>
  </si>
  <si>
    <t xml:space="preserve">1. Work Orders → In Progress chip → open the WO (eye icon).
2. Check the Resources list.
3. Open Spent Hours.
4. Open the work order logs.
5. Open Hour Log Adjustment for the resource.</t>
  </si>
  <si>
    <t xml:space="preserve">WO from `pnpm seed:hourlog`</t>
  </si>
  <si>
    <t xml:space="preserve">Dummy resource hours appear on the resource list, Spent Hours, the work order logs and Hour Log Adjustment, with headcount and standard hours, plus source (Web/Mobile), device and user.</t>
  </si>
  <si>
    <t xml:space="preserve">AgriERP FSCM - Dummy Resources v2.pdf — Dummy Resource Management (p.6); Integration with Hour Log Adjustment (p.23)</t>
  </si>
  <si>
    <t xml:space="preserve">Manual (needs a mobile shift); automatable afterwards</t>
  </si>
  <si>
    <t xml:space="preserve">2026-09-30: work order logs added (client INT-006).</t>
  </si>
  <si>
    <t xml:space="preserve">INT-005, INT-006</t>
  </si>
  <si>
    <t xml:space="preserve">DR-08</t>
  </si>
  <si>
    <t xml:space="preserve">Dummy + machine hours post to the WO's ERP project</t>
  </si>
  <si>
    <t xml:space="preserve">Web / D365</t>
  </si>
  <si>
    <t xml:space="preserve">Integration</t>
  </si>
  <si>
    <t xml:space="preserve">A WO with logged dummy resource shifts, linked to an ERP project; a second WO whose plot has no ERP project link.</t>
  </si>
  <si>
    <t xml:space="preserve">1. Post the hours from the linked WO and check the project in D365.
2. Try to post from the unlinked WO.
3. Correct a shift before WO completion; check re-post.
4. Complete the WO and try to edit the hours.</t>
  </si>
  <si>
    <t xml:space="preserve">Resource and machine/implement hours post to the WO's ERP project; posting is restricted without a project link; corrections before completion are re-posted; after completion hours are read-only.</t>
  </si>
  <si>
    <t xml:space="preserve">AgriERP FSCM - Dummy Resources v2.pdf — Integration with ERP (p.23)</t>
  </si>
  <si>
    <t xml:space="preserve">Partial: API posting readiness; D365 posting manual</t>
  </si>
  <si>
    <t xml:space="preserve">API check: GET /api/DummyShift/PostingReadiness/{workOrderId}, /UnpostableResources/{workOrderId}</t>
  </si>
  <si>
    <t xml:space="preserve">INT-001, INT-002, INT-003, INT-004</t>
  </si>
  <si>
    <t xml:space="preserve">DR-09</t>
  </si>
  <si>
    <t xml:space="preserve">Named resource on a running job cannot be re-selected; dummy never blocked</t>
  </si>
  <si>
    <t xml:space="preserve">Resource availability</t>
  </si>
  <si>
    <t xml:space="preserve">Negative</t>
  </si>
  <si>
    <t xml:space="preserve">Logged in to the Farm Web App as Admin / Manager. A named resource is working on a running job (not paused/stopped).</t>
  </si>
  <si>
    <t xml:space="preserve">1. On another WO, open Add Resource and try to select the busy named resource.
2. Open Add Dummy Resource and select a dummy resource already on a running job.</t>
  </si>
  <si>
    <t xml:space="preserve">Named resource on a running job; any dummy resource</t>
  </si>
  <si>
    <t xml:space="preserve">The named resource cannot be selected until its job is paused or stopped; the dummy resource is selectable.</t>
  </si>
  <si>
    <t xml:space="preserve">AgriERP FSCM - Dummy Resources v2.pdf — Dummy Resource Management (p.6)</t>
  </si>
  <si>
    <t xml:space="preserve">Manual; web half automatable once a running job can be seeded</t>
  </si>
  <si>
    <t xml:space="preserve">VAL-004, VAL-005</t>
  </si>
  <si>
    <t xml:space="preserve">DR-10</t>
  </si>
  <si>
    <t xml:space="preserve">In Progress WO on web stays In Progress and shows hours from every resumed shift</t>
  </si>
  <si>
    <t xml:space="preserve">New</t>
  </si>
  <si>
    <t xml:space="preserve">Resume Job &amp; shifts</t>
  </si>
  <si>
    <t xml:space="preserve">Functional / Regression</t>
  </si>
  <si>
    <t xml:space="preserve">Logged in to the Farm Web App as Admin / Manager (VBS tenant, QA env). The In Progress WO from DRM-10 has Shift 1 and Shift 2 logged on mobile via Resume Job.</t>
  </si>
  <si>
    <t xml:space="preserve">1. Open Work Orders and click the In Progress status chip.
2. Find the WO and click the eye icon (View).
3. Open the Resources section and read the dummy resource rows.
4. Open Spent Hours for the plot.</t>
  </si>
  <si>
    <t xml:space="preserve">WO from `pnpm seed:hourlog`; Shift 1: 2 res × 2 h; Shift 2: 1 res × 2 h</t>
  </si>
  <si>
    <t xml:space="preserve">The WO is listed under In Progress (not To Do or Queue). The resource list and Spent Hours show the hours of both shifts (4 h + 2 h = 6 h resource hours), with headcount and source Mobile.</t>
  </si>
  <si>
    <t xml:space="preserve">AgriERP FSCM - Dummy Resources v2.pdf — Important Point – Resume Job and Shifts (p.22); Dummy Resource Management (p.6)</t>
  </si>
  <si>
    <t xml:space="preserve">Manual; automatable later against a seeded WO (read-only)</t>
  </si>
  <si>
    <t xml:space="preserve">Derived: plot remains In Progress once started + shift hours are additive + hours visible on web.</t>
  </si>
  <si>
    <t xml:space="preserve">DR-11</t>
  </si>
  <si>
    <t xml:space="preserve">Resource Group filter narrows the Add Dummy Resource list</t>
  </si>
  <si>
    <t xml:space="preserve">Logged in to the Farm Web App as Admin / Manager (VBS tenant, QA env). Work Orders → Create New Work Order (Planned) is open with Farm, Operation and Plot set — Add Resources stays inert until all three are set. (v2 build, where the Select Resources "+" menu is deployed).</t>
  </si>
  <si>
    <t xml:space="preserve">1. Click '+' → Add Dummy Resource.
2. Open the Resource Group dropdown (default All) and pick a group.
3. Click Apply.
4. Repeat on '+' → Add Resource.</t>
  </si>
  <si>
    <t xml:space="preserve">Resource Group: Machine Operators</t>
  </si>
  <si>
    <t xml:space="preserve">Only resources of the chosen group remain; the filter behaves the same on Add Resource.</t>
  </si>
  <si>
    <t xml:space="preserve">AgriERP FSCM - Dummy Resources v2.pdf — Figure 2 (p.8) — filters work the same way in both modes</t>
  </si>
  <si>
    <t xml:space="preserve">Manual — blocked by data (Resource Group offers only All)</t>
  </si>
  <si>
    <t xml:space="preserve">WEB-004</t>
  </si>
  <si>
    <t xml:space="preserve">Blocked</t>
  </si>
  <si>
    <t xml:space="preserve">DR-12</t>
  </si>
  <si>
    <t xml:space="preserve">Search By Resource Name filters the dummy list</t>
  </si>
  <si>
    <t xml:space="preserve">1. Click '+' → Add Dummy Resource.
2. Type in Search By Resource Name.
3. Click Apply.</t>
  </si>
  <si>
    <t xml:space="preserve">"Irrigator"</t>
  </si>
  <si>
    <t xml:space="preserve">Only matching dummy resources remain (e.g. Irrigator (DM002), Irrigator 02 (DM003)).</t>
  </si>
  <si>
    <t xml:space="preserve">AgriERP FSCM - Dummy Resources v2.pdf — Figure 2 (p.8)</t>
  </si>
  <si>
    <t xml:space="preserve">WEB-005</t>
  </si>
  <si>
    <t xml:space="preserve">DR-13</t>
  </si>
  <si>
    <t xml:space="preserve">Search By Company Name filters the dummy list</t>
  </si>
  <si>
    <t xml:space="preserve">1. Click '+' → Add Dummy Resource.
2. Type a company in Search By Company Name.
3. Click Apply.</t>
  </si>
  <si>
    <t xml:space="preserve">A company name shown in the Company column</t>
  </si>
  <si>
    <t xml:space="preserve">Only dummy resources tied to that company remain.</t>
  </si>
  <si>
    <t xml:space="preserve">Manual — blocked by data (dummy resources have no Company Name)</t>
  </si>
  <si>
    <t xml:space="preserve">WEB-006</t>
  </si>
  <si>
    <t xml:space="preserve">DR-14</t>
  </si>
  <si>
    <t xml:space="preserve">Reset clears the applied filters</t>
  </si>
  <si>
    <t xml:space="preserve">1. Click '+' → Add Dummy Resource.
2. Apply Resource Group, Resource Name and Company Name filters.
3. Click Reset.</t>
  </si>
  <si>
    <t xml:space="preserve">Any filter values</t>
  </si>
  <si>
    <t xml:space="preserve">All filters clear, Resource Group returns to All, and the full dummy register is listed again.</t>
  </si>
  <si>
    <t xml:space="preserve">❌ Expected failure — FINDINGS #48 (Reset switches to the named register)</t>
  </si>
  <si>
    <t xml:space="preserve">Reset is from the Select Resources modal (knowledge base); the PSD text names only the three filters.</t>
  </si>
  <si>
    <t xml:space="preserve">WEB-007</t>
  </si>
  <si>
    <t xml:space="preserve">Fail</t>
  </si>
  <si>
    <t xml:space="preserve">DR-15</t>
  </si>
  <si>
    <t xml:space="preserve">Several dummy resources selected in one pass are all added</t>
  </si>
  <si>
    <t xml:space="preserve">1. Open the dummy register (v2: '+' → Add Dummy Resource; v1: Dummy Resource switch = Yes).
2. Tick two dummy resources.
3. Click Save.</t>
  </si>
  <si>
    <t xml:space="preserve">Irrigator (DM002), Irrigator 02 (DM003)</t>
  </si>
  <si>
    <t xml:space="preserve">Both are added under Select Resources, each with its own No Of Resource input (and, on v2, the Dummy Resource chip).</t>
  </si>
  <si>
    <t xml:space="preserve">AgriERP FSCM - Dummy Resources v2.pdf — Figures 1–2 (p.7–8); Business Cases — added from the web during planning</t>
  </si>
  <si>
    <t xml:space="preserve">✅ Automated (read-only)</t>
  </si>
  <si>
    <t xml:space="preserve">WEB-011</t>
  </si>
  <si>
    <t xml:space="preserve">DR-16</t>
  </si>
  <si>
    <t xml:space="preserve">Dummy resources are flagged master data in Resource Management</t>
  </si>
  <si>
    <t xml:space="preserve">Logged in to the Farm Web App as Admin / Manager with access to Settings → Resources.</t>
  </si>
  <si>
    <t xml:space="preserve">1. Open Settings → Resources.
2. Find a dummy resource (e.g. Irrigator (DM002)).
3. Open it and check its dummy flag.
4. Confirm it can be picked on a WO (DR-01).</t>
  </si>
  <si>
    <t xml:space="preserve">Irrigator (DM002)</t>
  </si>
  <si>
    <t xml:space="preserve">The record is stored as master data and flagged as dummy; it is selectable onto a WO like a named resource.</t>
  </si>
  <si>
    <t xml:space="preserve">Manual</t>
  </si>
  <si>
    <t xml:space="preserve">Screen and flag label unverified on QA; confirm the exact wording on first run.</t>
  </si>
  <si>
    <t xml:space="preserve">WEB-012</t>
  </si>
  <si>
    <t xml:space="preserve">DR-17</t>
  </si>
  <si>
    <t xml:space="preserve">Dummy resource hours adjustable from Spent Hours until the WO is completed</t>
  </si>
  <si>
    <t xml:space="preserve">Logged in to the Farm Web App as Admin / Manager. An In Progress WO (`pnpm seed:hourlog`) has a dummy resource shift logged on mobile.</t>
  </si>
  <si>
    <t xml:space="preserve">1. Work Orders → In Progress chip → open the WO.
2. In the Resources table, click the dummy resource's Hours Logged link to open Spent Hours.
3. Adjust the hours and save.
4. Re-read Spent Hours.</t>
  </si>
  <si>
    <t xml:space="preserve">Shift of 2 res × 2 h (4 h) adjusted to 3 h</t>
  </si>
  <si>
    <t xml:space="preserve">The adjustment is saved and Spent Hours shows the new value while the WO is not completed. (After completion hours are read-only — DR-08.)</t>
  </si>
  <si>
    <t xml:space="preserve">AgriERP FSCM - Dummy Resources v2.pdf — Solution Overview (p.6); Persona – Farm Operations Manager</t>
  </si>
  <si>
    <t xml:space="preserve">Manual (needs a mobile shift)</t>
  </si>
  <si>
    <t xml:space="preserve">Keep the WO forward-only.</t>
  </si>
  <si>
    <t xml:space="preserve">INT-007</t>
  </si>
  <si>
    <t xml:space="preserve">DR-18</t>
  </si>
  <si>
    <t xml:space="preserve">A dummy resource saves without any machine or implement</t>
  </si>
  <si>
    <t xml:space="preserve">Functional / Positive</t>
  </si>
  <si>
    <t xml:space="preserve">1. Add a dummy resource (DR-01).
2. Add no asset.
3. Submit → Save.</t>
  </si>
  <si>
    <t xml:space="preserve">Machine Operator (DM001); no asset</t>
  </si>
  <si>
    <t xml:space="preserve">The WO saves ("Work Order WO-XXXXX | &lt;name&gt; Saved Successfully"); no asset is required.</t>
  </si>
  <si>
    <t xml:space="preserve">AgriERP FSCM - Dummy Resources v2.pdf — Validation Rules → Mandatory Fields (p.26) — machine and implement attachment is optional</t>
  </si>
  <si>
    <t xml:space="preserve">✅ Verified manually 2026-09-30 (WO-1393)</t>
  </si>
  <si>
    <t xml:space="preserve">VAL-001</t>
  </si>
  <si>
    <t xml:space="preserve">DR-19</t>
  </si>
  <si>
    <t xml:space="preserve">Select Resources shows the dummy resource headcount notice</t>
  </si>
  <si>
    <t xml:space="preserve">1. Look under the Select Resources grid.</t>
  </si>
  <si>
    <t xml:space="preserve">The notice "Dummy resources stand in for unnamed labour and carry a headcount instead of a person…" is shown.</t>
  </si>
  <si>
    <t xml:space="preserve">❌ Expected failure — FINDINGS #49 (notice not rendered)</t>
  </si>
  <si>
    <t xml:space="preserve">Split out of DR-05 on 2026-09-30.</t>
  </si>
  <si>
    <t xml:space="preserve">DRM-01</t>
  </si>
  <si>
    <t xml:space="preserve">Plot card swipe menus</t>
  </si>
  <si>
    <t xml:space="preserve">Setting up the job</t>
  </si>
  <si>
    <t xml:space="preserve">Supervisor / Machine Operator</t>
  </si>
  <si>
    <t xml:space="preserve">Mobile</t>
  </si>
  <si>
    <t xml:space="preserve">Logged in to the Farm Mobile App as a Supervisor or Machine Operator (VBS tenant, QA env). A Planned WO with at least one plot is assigned to the user; the operation has a dummy resource register.</t>
  </si>
  <si>
    <t xml:space="preserve">1. Open the WO on the Work Order Detail screen.
2. Swipe a plot card right.
3. Swipe the same card left.
4. Repeat on a plot that already has a shift.</t>
  </si>
  <si>
    <t xml:space="preserve">Swipe right: Add / Update Dummy Resource, Add Resources. Swipe left: Start Job, Edit, Resume, Pause. Available on every plot, whether or not a shift has run.</t>
  </si>
  <si>
    <t xml:space="preserve">AgriERP FSCM - Dummy Resources v2.pdf — Figures 3–4 (p.9–10)</t>
  </si>
  <si>
    <t xml:space="preserve">Manual (Farm Mobile App)</t>
  </si>
  <si>
    <t xml:space="preserve">DRM-02</t>
  </si>
  <si>
    <t xml:space="preserve">Dummy Resources empty state</t>
  </si>
  <si>
    <t xml:space="preserve">Logged in to the Farm Mobile App as a Supervisor or Machine Operator (VBS tenant, QA env). A Planned WO with at least one plot is assigned to the user; the operation has a dummy resource register. The plot has no dummy resource logs.</t>
  </si>
  <si>
    <t xml:space="preserve">1. Swipe the plot card right → Add / Update Dummy Resource.</t>
  </si>
  <si>
    <t xml:space="preserve">"No dummy resource logs on this plot yet — tap + to add one."; Total Hours Logged: 0h; Resource 0h + Machine / Implement 0h.</t>
  </si>
  <si>
    <t xml:space="preserve">AgriERP FSCM - Dummy Resources v2.pdf — Figure 5 (p.11)</t>
  </si>
  <si>
    <t xml:space="preserve">DRM-03</t>
  </si>
  <si>
    <t xml:space="preserve">Add Dummy Resource lists the dummy register only; multi-select</t>
  </si>
  <si>
    <t xml:space="preserve">1. Swipe right → Add / Update Dummy Resource → '+'.
2. Check the list for named app users.
3. Tick two dummy resources.</t>
  </si>
  <si>
    <t xml:space="preserve">Machine Operator (DM001), Irrigator (DM002)</t>
  </si>
  <si>
    <t xml:space="preserve">Only the operation's dummy resources are listed (no named users); more than one can be ticked; Done becomes active once a row is ticked.</t>
  </si>
  <si>
    <t xml:space="preserve">AgriERP FSCM - Dummy Resources v2.pdf — Figures 7–8 (p.13–14)</t>
  </si>
  <si>
    <t xml:space="preserve">DRM-04</t>
  </si>
  <si>
    <t xml:space="preserve">No Of Resources is mandatory, integer &gt; 0</t>
  </si>
  <si>
    <t xml:space="preserve">Logged in to the Farm Mobile App as a Supervisor or Machine Operator (VBS tenant, QA env). A Planned WO with at least one plot is assigned to the user; the operation has a dummy resource register. Two dummy resources ticked in Add Dummy Resource.</t>
  </si>
  <si>
    <t xml:space="preserve">1. Tap Done.
2. Leave one No Of Resources field empty and try to continue.
3. Enter 0 and try again.
4. Enter 2 in both.</t>
  </si>
  <si>
    <t xml:space="preserve">Empty, 0, then 2</t>
  </si>
  <si>
    <t xml:space="preserve">One mandatory No Of Resources field per selected resource; empty or 0 blocks progress; a positive integer lets the flow continue.</t>
  </si>
  <si>
    <t xml:space="preserve">AgriERP FSCM - Dummy Resources v2.pdf — Figure 9 (p.15); Validation Rules – Mandatory Fields</t>
  </si>
  <si>
    <t xml:space="preserve">✅ Automated (API) — dummy-shifts-api.spec.ts; screens manual</t>
  </si>
  <si>
    <t xml:space="preserve">DRM-05</t>
  </si>
  <si>
    <t xml:space="preserve">Select Asset per resource; Add Machine / Add Dummy Machine sheet</t>
  </si>
  <si>
    <t xml:space="preserve">Logged in to the Farm Mobile App as a Supervisor or Machine Operator (VBS tenant, QA env). A Planned WO with at least one plot is assigned to the user; the operation has a dummy resource register. No Of Resources entered for the selected dummy resources.</t>
  </si>
  <si>
    <t xml:space="preserve">1. On Select Asset, open a resource row.
2. Choose to attach a machine.
3. Choose to attach an implement.
4. Select a machine, tick it and tap Done.</t>
  </si>
  <si>
    <t xml:space="preserve">Dummy machine and actual machine available</t>
  </si>
  <si>
    <t xml:space="preserve">Add Machine / Add Dummy Machine sheet appears only when dummy assets of that kind exist; implements (no dummy assets today) open the selection page directly; chosen machine is listed against the resource. Either register usable by dummy or named resources.</t>
  </si>
  <si>
    <t xml:space="preserve">AgriERP FSCM - Dummy Resources v2.pdf — Figures 10–12 (p.16–18); Dummy Asset Register</t>
  </si>
  <si>
    <t xml:space="preserve">API check: GET /api/DummyShift/DummyAssetRegister/{assetType}</t>
  </si>
  <si>
    <t xml:space="preserve">BIND-004, BIND-009, VAL-006, VAL-007, VAL-008</t>
  </si>
  <si>
    <t xml:space="preserve">DRM-06</t>
  </si>
  <si>
    <t xml:space="preserve">Summary before Start Job</t>
  </si>
  <si>
    <t xml:space="preserve">Logged in to the Farm Mobile App as a Supervisor or Machine Operator (VBS tenant, QA env). A Planned WO with at least one plot is assigned to the user; the operation has a dummy resource register. Dummy resources, headcount and assets selected.</t>
  </si>
  <si>
    <t xml:space="preserve">1. Proceed to the Summary screen.</t>
  </si>
  <si>
    <t xml:space="preserve">2 × Machine Operator (DM001) + machine</t>
  </si>
  <si>
    <t xml:space="preserve">Summary shows the plot, dummy resources with headcount, attached assets, and Estimated Hours derived from the headcount.</t>
  </si>
  <si>
    <t xml:space="preserve">AgriERP FSCM - Dummy Resources v2.pdf — Figure 13 (p.19)</t>
  </si>
  <si>
    <t xml:space="preserve">API check: POST /api/DummyShift/Preview</t>
  </si>
  <si>
    <t xml:space="preserve">DRM-07</t>
  </si>
  <si>
    <t xml:space="preserve">Start Job creates Shift 1 and writes machine bindings</t>
  </si>
  <si>
    <t xml:space="preserve">Starting &amp; resuming (In Progress)</t>
  </si>
  <si>
    <t xml:space="preserve">Logged in to the Farm Mobile App as a Supervisor or Machine Operator (VBS tenant, QA env). A Planned WO with at least one plot is assigned to the user; the operation has a dummy resource register. Summary reviewed; plot in To Do.</t>
  </si>
  <si>
    <t xml:space="preserve">1. Tap Start Job at 02:00 PM.
2. Check the plot card status.
3. Open Add / Update Dummy Resource.</t>
  </si>
  <si>
    <t xml:space="preserve">Start 02:00 PM; Standard Hours 2; No Of Resources 1; actual machine</t>
  </si>
  <si>
    <t xml:space="preserve">Shift 1 is created; plot goes In Progress; 2 h logged (1 × 2); machine bound 02:00 PM – 04:00 PM.</t>
  </si>
  <si>
    <t xml:space="preserve">AgriERP FSCM - Dummy Resources v2.pdf — Figure 14 (p.20); Machine Binding &amp; Shift Window</t>
  </si>
  <si>
    <t xml:space="preserve">⚠ Figure 14 still says 'until Pause or Stop'; the revised Important Point no longer states post-Pause/Stop status. Confirm with PO. · API check: POST /api/DummyShift</t>
  </si>
  <si>
    <t xml:space="preserve">BIND-001</t>
  </si>
  <si>
    <t xml:space="preserve">DRM-08</t>
  </si>
  <si>
    <t xml:space="preserve">Hours = No. of Resources × Standard Hours; machine logs same hours</t>
  </si>
  <si>
    <t xml:space="preserve">Hours &amp; machine binding</t>
  </si>
  <si>
    <t xml:space="preserve">Logged in to the Farm Mobile App as a Supervisor or Machine Operator. An In Progress WO (`pnpm seed:hourlog`) has at least one logged dummy resource shift on a plot.</t>
  </si>
  <si>
    <t xml:space="preserve">1. Open Add / Update Dummy Resource on the plot.
2. Read hours per resource, machine hours and Total Hours Logged.
3. Try to edit the hours directly.</t>
  </si>
  <si>
    <t xml:space="preserve">2 res × 2 h + 1 res × 2 h, each with a machine on the first</t>
  </si>
  <si>
    <t xml:space="preserve">Hours are read-only and equal headcount × standard hours; the attached machine logs the same hours; plot total = resource + machine hours (Figure 6: 6 h resource + 4 h machine = 10 h).</t>
  </si>
  <si>
    <t xml:space="preserve">AgriERP FSCM - Dummy Resources v2.pdf — Figure 6 (p.12); Hour Calculation</t>
  </si>
  <si>
    <t xml:space="preserve">API check: POST /api/DummyShift/Preview; GET /api/DummyShift/PlotSummary/{workOrderId}</t>
  </si>
  <si>
    <t xml:space="preserve">VAL-012, VAL-013, VAL-014</t>
  </si>
  <si>
    <t xml:space="preserve">DRM-09</t>
  </si>
  <si>
    <t xml:space="preserve">Machine bound in the shift window cannot be selected</t>
  </si>
  <si>
    <t xml:space="preserve">Logged in to the Farm Mobile App as a Supervisor or Machine Operator (VBS tenant, QA env). A Planned WO with at least one plot is assigned to the user; the operation has a dummy resource register. Machine M1 is bound to another resource 02:00–04:00 PM.</t>
  </si>
  <si>
    <t xml:space="preserve">1. Start a shift whose window overlaps 02:00–04:00 PM.
2. On Select Machine, find M1.
3. Tap M1.</t>
  </si>
  <si>
    <t xml:space="preserve">M1 bound to Machine Operator (DM001) 02:00–04:00 PM</t>
  </si>
  <si>
    <t xml:space="preserve">M1 is greyed out with a Bound tag and "Already bound to &lt;resource&gt; · &lt;start&gt; – &lt;end&gt;"; tapping shows "&lt;Machine&gt; is already bound to &lt;resource&gt; from &lt;start&gt; to &lt;end&gt;."</t>
  </si>
  <si>
    <t xml:space="preserve">AgriERP FSCM - Dummy Resources v2.pdf — Figures 15–16 (p.21–22); Machine Binding Validation</t>
  </si>
  <si>
    <t xml:space="preserve">API check: POST /api/DummyShift/MachineAvailability</t>
  </si>
  <si>
    <t xml:space="preserve">BIND-002, BIND-003, BIND-010, VAL-002</t>
  </si>
  <si>
    <t xml:space="preserve">DRM-10</t>
  </si>
  <si>
    <t xml:space="preserve">Resume Job appends a new shift to the plot</t>
  </si>
  <si>
    <t xml:space="preserve">Logged in to the Farm Mobile App as a Supervisor or Machine Operator (VBS tenant, QA env). A Planned WO in In Progress status (seed with `pnpm seed:hourlog`, which creates the WO and sets it In Progress) has Shift 1 logged on one plot (plot card shows In Progress). Keep the WO forward-only: never revert it to To Do or delete it.</t>
  </si>
  <si>
    <t xml:space="preserve">1. Open the In Progress WO on the Work Order Detail screen (plot shows Shift 1).
2. Swipe the plot card left → Resume.
3. Swipe right → Add / Update Dummy Resource; add a dummy resource, enter No Of Resources, attach a machine, tap Done.
4. Review the Summary and tap Start Job.
5. Repeat steps 2–4 once more.
6. Swipe right → Add / Update Dummy Resource and review the shift list.</t>
  </si>
  <si>
    <t xml:space="preserve">Machine Operator (DM001); No Of Resources: 2</t>
  </si>
  <si>
    <t xml:space="preserve">Each Resume runs the same Start Job flow and appends one new shift (Shift 2, then Shift 3). Shift 1 remains listed; no shift is replaced.</t>
  </si>
  <si>
    <t xml:space="preserve">AgriERP FSCM - Dummy Resources v2.pdf — Important Point – Resume Job and Shifts (p.22)</t>
  </si>
  <si>
    <t xml:space="preserve">PSD was: 'appends a second shift'; now: 'appends a new shift'. · API check: POST /api/DummyShift/Resume</t>
  </si>
  <si>
    <t xml:space="preserve">DRM-15</t>
  </si>
  <si>
    <t xml:space="preserve">Plot remains In Progress once the job is started</t>
  </si>
  <si>
    <t xml:space="preserve">1. Open the In Progress WO on the Work Order Detail screen; note the plot card status (Shift 1 logged).
2. Swipe the plot card left → Resume; complete the dummy resource flow and tap Start Job (Shift 2).
3. Note the plot card status.
4. Swipe left → Resume again; complete the flow and tap Start Job (Shift 3).
5. Note the plot card status again.</t>
  </si>
  <si>
    <t xml:space="preserve">Irrigator (DM002); No Of Resources: 1</t>
  </si>
  <si>
    <t xml:space="preserve">Plot card reads In Progress before Resume (step 1) and stays In Progress after each Resume (steps 3 and 5). It never returns to To Do between shifts.</t>
  </si>
  <si>
    <t xml:space="preserve">✅ Automated (API, WO status) — dummy-shifts-api.spec.ts; screens manual</t>
  </si>
  <si>
    <t xml:space="preserve">PSD dropped 'only Pause or Stop returns it to To Do'.</t>
  </si>
  <si>
    <t xml:space="preserve">DRM-16</t>
  </si>
  <si>
    <t xml:space="preserve">Each new shift's hours add to the plot total</t>
  </si>
  <si>
    <t xml:space="preserve">Logged in to the Farm Mobile App as a Supervisor or Machine Operator (VBS tenant, QA env). A Planned WO in In Progress status (seed with `pnpm seed:hourlog`, which creates the WO and sets it In Progress) has Shift 1 logged on one plot (plot card shows In Progress). Keep the WO forward-only: never revert it to To Do or delete it. Shift 1 was logged with 2 dummy resources; standard hours = 2 h.</t>
  </si>
  <si>
    <t xml:space="preserve">1. Confirm Shift 1 on the In Progress plot has 2 dummy resources.
2. Note Total Hours Logged in Add / Update Dummy Resource.
3. Swipe left → Resume; add 1 dummy resource and tap Start Job (Shift 2).
4. Reopen Add / Update Dummy Resource and read Total Hours Logged and each shift's hours.</t>
  </si>
  <si>
    <t xml:space="preserve">Shift 1: 2 × 2 h; Shift 2: 1 × 2 h</t>
  </si>
  <si>
    <t xml:space="preserve">Shift 1 logs 4 h, Shift 2 logs 2 h; Total Hours Logged shows 6 h resource (plus machine hours). Shift 1 still shows 4 h.</t>
  </si>
  <si>
    <t xml:space="preserve">API check: GET /api/DummyShift/PlotSummary/{workOrderId}</t>
  </si>
  <si>
    <t xml:space="preserve">DRM-17</t>
  </si>
  <si>
    <t xml:space="preserve">Multiple shifts per day keep their own resources, headcount, machines and window</t>
  </si>
  <si>
    <t xml:space="preserve">Logged in to the Farm Mobile App as a Supervisor or Machine Operator (VBS tenant, QA env). A Planned WO in In Progress status (seed with `pnpm seed:hourlog`, which creates the WO and sets it In Progress) has Shift 1 logged on one plot (plot card shows In Progress). Keep the WO forward-only: never revert it to To Do or delete it. Shift 1 uses dummy resource A × 2 with machine M1; dummy resource B and machine M2 are available.</t>
  </si>
  <si>
    <t xml:space="preserve">1. Confirm Shift 1 on the In Progress plot uses dummy resource A, No Of Resources 2, machine M1.
2. Swipe left → Resume; add dummy resource B, No Of Resources 3, machine M2; tap Start Job (Shift 2).
3. Open Add / Update Dummy Resource and compare both shifts.</t>
  </si>
  <si>
    <t xml:space="preserve">A: Machine Operator (DM001); B: Irrigator (DM002); M1/M2: two unbound machines</t>
  </si>
  <si>
    <t xml:space="preserve">Both shifts listed on the same plot and day. Shift 1: A × 2, M1, own window. Shift 2: B × 3, M2, own window. Shift 1 unchanged.</t>
  </si>
  <si>
    <t xml:space="preserve">API check: GET /api/DummyShift/Line/{workOrderLineId}</t>
  </si>
  <si>
    <t xml:space="preserve">DRM-11</t>
  </si>
  <si>
    <t xml:space="preserve">Raising headcount extends hours and binding window; blocked on conflict</t>
  </si>
  <si>
    <t xml:space="preserve">Logged in to the Farm Mobile App as a Supervisor or Machine Operator. An In Progress WO (`pnpm seed:hourlog`) has at least one logged dummy resource shift on a plot. The shift has an actual machine; that machine was used by an actual resource on the same WO right after the shift window.</t>
  </si>
  <si>
    <t xml:space="preserve">1. Tap the pencil on the shift.
2. Raise No Of Resources by 1 on a machine with no conflict; save.
3. On the conflicting shift, raise No Of Resources so the window overlaps the actual resource's use.</t>
  </si>
  <si>
    <t xml:space="preserve">No Of Resources 1 → 2</t>
  </si>
  <si>
    <t xml:space="preserve">Step 2: hours and binding end extend. Step 3: change blocked, Save stays disabled until the headcount is reduced or the machine is freed.</t>
  </si>
  <si>
    <t xml:space="preserve">AgriERP FSCM - Dummy Resources v2.pdf — Headcount Update Validation (p.22)</t>
  </si>
  <si>
    <t xml:space="preserve">API check: PUT /api/DummyShift/Resource/{shiftResourceId}/Headcount</t>
  </si>
  <si>
    <t xml:space="preserve">BIND-005, BIND-006, BIND-007, BIND-008, VAL-003</t>
  </si>
  <si>
    <t xml:space="preserve">DRM-12</t>
  </si>
  <si>
    <t xml:space="preserve">Correct or delete a shift</t>
  </si>
  <si>
    <t xml:space="preserve">Corrections, availability &amp; audit</t>
  </si>
  <si>
    <t xml:space="preserve">1. Tap the pencil; change No Of Resources.
2. Remove one resource from a multi-resource shift.
3. Tap the bin on a shift.
4. Remove the last resource of another shift.
5. On a posted, completed WO, try to delete a shift.</t>
  </si>
  <si>
    <t xml:space="preserve">Hours and window recalculate; Remove takes the resource off; bin deletes the shift and its hours/bindings from the total; removing the last resource deletes the shift; deletion not allowed once posted and the WO is completed.</t>
  </si>
  <si>
    <t xml:space="preserve">AgriERP FSCM - Dummy Resources v2.pdf — Important Point – Correcting and Deleting a Shift (p.22–23)</t>
  </si>
  <si>
    <t xml:space="preserve">API check: DELETE /api/DummyShift/{shiftId}, /Resource/{shiftResourceId}, /Asset/{shiftAssetId}</t>
  </si>
  <si>
    <t xml:space="preserve">VAL-009, VAL-010, VAL-011</t>
  </si>
  <si>
    <t xml:space="preserve">DRM-13</t>
  </si>
  <si>
    <t xml:space="preserve">Named resource on a running job is unavailable; dummy unrestricted</t>
  </si>
  <si>
    <t xml:space="preserve">Logged in to the Farm Mobile App as a Supervisor or Machine Operator (VBS tenant, QA env). A Planned WO with at least one plot is assigned to the user; the operation has a dummy resource register. A named resource is working on a running job on another plot.</t>
  </si>
  <si>
    <t xml:space="preserve">1. Add Resources for a new shift; find the busy named resource.
2. Tap it.
3. Add a dummy resource that is on a running job.</t>
  </si>
  <si>
    <t xml:space="preserve">Named resource busy on another plot</t>
  </si>
  <si>
    <t xml:space="preserve">Named row shows "Already working on &lt;plot&gt;" and tapping raises an error; dummy resource can be selected.</t>
  </si>
  <si>
    <t xml:space="preserve">AgriERP FSCM - Dummy Resources v2.pdf — Named Resource Availability Validation</t>
  </si>
  <si>
    <t xml:space="preserve">Partial: API covers dummy availability; named half manual — dummy-shifts-api.spec.ts; screens manual</t>
  </si>
  <si>
    <t xml:space="preserve">API check: POST /api/DummyShift/ResourceAvailability</t>
  </si>
  <si>
    <t xml:space="preserve">DRM-14</t>
  </si>
  <si>
    <t xml:space="preserve">Audit trail for shifts and corrections</t>
  </si>
  <si>
    <t xml:space="preserve">1. Start a shift, then correct its headcount.
2. Open notifications.
3. Open View All Logs.</t>
  </si>
  <si>
    <t xml:space="preserve">Each shift and correction records user, timestamp, source (Web/Mobile) and device, and is shown in notifications and View All Logs.</t>
  </si>
  <si>
    <t xml:space="preserve">AgriERP FSCM - Dummy Resources v2.pdf — Dummy Resource Audit Trail Logs (p.23)</t>
  </si>
  <si>
    <t xml:space="preserve">Partial (API): ❌ detach not logged (#50), corrections lack device (#53) — dummy-shifts-api.spec.ts; screens manual</t>
  </si>
  <si>
    <t xml:space="preserve">API check: GET /api/DummyShift/{shiftId}/Logs, /WorkOrder/{workOrderId}/Logs</t>
  </si>
  <si>
    <t xml:space="preserve">AUD-001, AUD-002, AUD-003, AUD-004, AUD-005</t>
  </si>
  <si>
    <t xml:space="preserve">DRI-01</t>
  </si>
  <si>
    <t xml:space="preserve">Spent Hours unchanged for named and old-style dummy resources</t>
  </si>
  <si>
    <t xml:space="preserve">Impact-area regression (ADO 26191)</t>
  </si>
  <si>
    <t xml:space="preserve">Regression</t>
  </si>
  <si>
    <t xml:space="preserve">Logged in to the Farm Web App as Admin / Manager (VBS tenant, QA env). One WO with named resources only and hour logs; one pre-v2 WO carrying an old-style (Enh 25942) dummy resource with hours.</t>
  </si>
  <si>
    <t xml:space="preserve">1. Open each WO → Resources table; read Spent Hours.
2. Click Hours Logged to open the Spent Hours drawer.
3. Cross-check GET api/WorkOrder/HourLogs for the same WO.</t>
  </si>
  <si>
    <t xml:space="preserve">WO from `pnpm seed:hourlog`; a pre-v2 dummy WO</t>
  </si>
  <si>
    <t xml:space="preserve">Spent Hours and the drawer show the same hours as before v2; the API returns the entries (new fields tolerated); old-style dummy hours still shown.</t>
  </si>
  <si>
    <t xml:space="preserve">AgriERP FSCM - Dummy Resources v2.pdf — ADO 26191 impact 1 — Spent Hours (GET api/WorkOrder/HourLogs)</t>
  </si>
  <si>
    <t xml:space="preserve">Partial: hour-log-adjustment.spec.ts (named). Old-style dummy: manual</t>
  </si>
  <si>
    <t xml:space="preserve">DRI-02</t>
  </si>
  <si>
    <t xml:space="preserve">Hour log create, edit, void and approve still work</t>
  </si>
  <si>
    <t xml:space="preserve">Logged in to the Farm Web App as Admin / Manager (VBS tenant, QA env). An In Progress WO (`pnpm seed:hourlog`) with named resources.</t>
  </si>
  <si>
    <t xml:space="preserve">1. Spent Hours drawer → Create an entry.
2. Edit it.
3. Void it.
4. Approve a pending hour log change request.</t>
  </si>
  <si>
    <t xml:space="preserve">Named resource Agrierp 07 (07)</t>
  </si>
  <si>
    <t xml:space="preserve">Each action succeeds and Spent Hours reflects it; no duplicate or lost entry (index is now non-unique).</t>
  </si>
  <si>
    <t xml:space="preserve">AgriERP FSCM - Dummy Resources v2.pdf — ADO 26191 impact 2 — WorkOrderHourLogs table</t>
  </si>
  <si>
    <t xml:space="preserve">Partial: approve/adjust/reject in hour-log-decisions.spec.ts (@mutating). Create/void: manual</t>
  </si>
  <si>
    <t xml:space="preserve">Spent Hours create on a resource with no hours returns 500 — FINDINGS #42.</t>
  </si>
  <si>
    <t xml:space="preserve">DRI-03</t>
  </si>
  <si>
    <t xml:space="preserve">Normal work order still reaches the mobile app</t>
  </si>
  <si>
    <t xml:space="preserve">Logged in to the Farm Mobile App as a Supervisor or Machine Operator (VBS tenant, QA env). A normal planned WO (named resources) was just created on web and assigned to the user.</t>
  </si>
  <si>
    <t xml:space="preserve">1. Create and submit a planned WO on web with named resources.
2. Refresh the mobile Work Orders list.
3. Open the WO.</t>
  </si>
  <si>
    <t xml:space="preserve">Any named resources</t>
  </si>
  <si>
    <t xml:space="preserve">The WO appears with its plots and resources.</t>
  </si>
  <si>
    <t xml:space="preserve">AgriERP FSCM - Dummy Resources v2.pdf — ADO 26191 impact 3 — WO sync to mobile (ComAX)</t>
  </si>
  <si>
    <t xml:space="preserve">Manual (mobile)</t>
  </si>
  <si>
    <t xml:space="preserve">DRI-04</t>
  </si>
  <si>
    <t xml:space="preserve">Start Job with named resources only</t>
  </si>
  <si>
    <t xml:space="preserve">Logged in to the Farm Mobile App as a Supervisor or Machine Operator (VBS tenant, QA env). A To Do planned WO with named resources only.</t>
  </si>
  <si>
    <t xml:space="preserve">1. Swipe a plot card left → Start Job.
2. Complete the flow without any dummy resource.</t>
  </si>
  <si>
    <t xml:space="preserve">Named resources only</t>
  </si>
  <si>
    <t xml:space="preserve">Job starts; plot and WO go In Progress; no shift/dummy data is asked for.</t>
  </si>
  <si>
    <t xml:space="preserve">AgriERP FSCM - Dummy Resources v2.pdf — ADO 26191 impact 4 — Start Job for normal resources (ComAX)</t>
  </si>
  <si>
    <t xml:space="preserve">DRI-05</t>
  </si>
  <si>
    <t xml:space="preserve">Hours split across plots unchanged (Bug 25844)</t>
  </si>
  <si>
    <t xml:space="preserve">Logged in to the Farm Web App as Admin / Manager (VBS tenant, QA env). A multi-plot WO with named-resource hours, and a dummy shift on one plot.</t>
  </si>
  <si>
    <t xml:space="preserve">1. Open Spent Hours per plot.
2. Compare the named-resource split with the plots' acreage.
3. Check the dummy shift's hours.</t>
  </si>
  <si>
    <t xml:space="preserve">Two plots of different acreage</t>
  </si>
  <si>
    <t xml:space="preserve">Named-resource hours are split by acreage as before; shift hours stay on their own plot and are not in the split.</t>
  </si>
  <si>
    <t xml:space="preserve">AgriERP FSCM - Dummy Resources v2.pdf — ADO 26191 impact 5 — Bug 25844 hours distribution</t>
  </si>
  <si>
    <t xml:space="preserve">DRI-06</t>
  </si>
  <si>
    <t xml:space="preserve">Old-style dummy resources (Enh 25942) still work</t>
  </si>
  <si>
    <t xml:space="preserve">Logged in to the Farm Web App as Admin / Manager (VBS tenant, QA env). A WO created before v2 with a dummy resource and headcount.</t>
  </si>
  <si>
    <t xml:space="preserve">1. Open the WO on web; check the dummy resource row and its headcount.
2. Check its hours in Spent Hours.
3. Open it on mobile.</t>
  </si>
  <si>
    <t xml:space="preserve">Pre-v2 WO with No Of Resource = 2</t>
  </si>
  <si>
    <t xml:space="preserve">Headcount shown and hours computed from it, on web and mobile.</t>
  </si>
  <si>
    <t xml:space="preserve">AgriERP FSCM - Dummy Resources v2.pdf — ADO 26191 impact 6 — Enh 25942</t>
  </si>
  <si>
    <t xml:space="preserve">Old-style WOs keep their stored headcount (WO-1391: Dummy Res 04 = 2); new web WOs carry none by design.</t>
  </si>
  <si>
    <t xml:space="preserve">Summary</t>
  </si>
  <si>
    <t xml:space="preserve">By change</t>
  </si>
  <si>
    <t xml:space="preserve">Count</t>
  </si>
  <si>
    <t xml:space="preserve">Total</t>
  </si>
  <si>
    <t xml:space="preserve">By platform</t>
  </si>
  <si>
    <t xml:space="preserve">By priority</t>
  </si>
  <si>
    <t xml:space="preserve">By result</t>
  </si>
  <si>
    <t xml:space="preserve">Open question: the revised PSD no longer states the plot status after Pause or Stop (Figure 14 still says 'until Pause or Stop'). Confirm with the PO before adding a case.</t>
  </si>
  <si>
    <t xml:space="preserve">ADO #26191 developer note (Mohsin Aqee, 2026-09-29) → test coverage</t>
  </si>
  <si>
    <t xml:space="preserve">Source: resources/work-items/26191-dummy-resource-v2.md</t>
  </si>
  <si>
    <t xml:space="preserve">Kind</t>
  </si>
  <si>
    <t xml:space="preserve">Item</t>
  </si>
  <si>
    <t xml:space="preserve">Our case(s)</t>
  </si>
  <si>
    <t xml:space="preserve">Coverage</t>
  </si>
  <si>
    <t xml:space="preserve">Implemented</t>
  </si>
  <si>
    <t xml:space="preserve">Shift per plot on Start/Resume Job (crews, headcount, machines, window); many shifts per plot</t>
  </si>
  <si>
    <t xml:space="preserve">DRM-07, DRM-10, DRM-15, DRM-16, DRM-17</t>
  </si>
  <si>
    <t xml:space="preserve">Automated (API)</t>
  </si>
  <si>
    <t xml:space="preserve">Server calculates hours = headcount × standard hours</t>
  </si>
  <si>
    <t xml:space="preserve">Machines booked for the shift window, no double use</t>
  </si>
  <si>
    <t xml:space="preserve">DRM-09, DRM-11</t>
  </si>
  <si>
    <t xml:space="preserve">Mobile corrections: headcount, remove crew, delete shift, attach/detach machine</t>
  </si>
  <si>
    <t xml:space="preserve">DRM-11, DRM-12</t>
  </si>
  <si>
    <t xml:space="preserve">Web API api/DummyShift/* (plot cards, shift list, edit, delete, history, posting checks)</t>
  </si>
  <si>
    <t xml:space="preserve">DRM-04..17, DR-08</t>
  </si>
  <si>
    <t xml:space="preserve">Automated: dummy-shifts-api.spec.ts (FINDINGS #50–#53)</t>
  </si>
  <si>
    <t xml:space="preserve">Full history log</t>
  </si>
  <si>
    <t xml:space="preserve">Shifts sync back to Firebase</t>
  </si>
  <si>
    <t xml:space="preserve">DRM-10 (mobile view)</t>
  </si>
  <si>
    <t xml:space="preserve">Impact 1</t>
  </si>
  <si>
    <t xml:space="preserve">Spent Hours (GET api/WorkOrder/HourLogs)</t>
  </si>
  <si>
    <t xml:space="preserve">Partial</t>
  </si>
  <si>
    <t xml:space="preserve">Impact 2</t>
  </si>
  <si>
    <t xml:space="preserve">WorkOrderHourLogs table: create, edit, void, approve</t>
  </si>
  <si>
    <t xml:space="preserve">Impact 3</t>
  </si>
  <si>
    <t xml:space="preserve">WO sync to mobile (ComAX)</t>
  </si>
  <si>
    <t xml:space="preserve">Impact 4</t>
  </si>
  <si>
    <t xml:space="preserve">Start Job for named resources (ComAX)</t>
  </si>
  <si>
    <t xml:space="preserve">Impact 5</t>
  </si>
  <si>
    <t xml:space="preserve">Hours distribution across plots (Bug 25844)</t>
  </si>
  <si>
    <t xml:space="preserve">Impact 6</t>
  </si>
  <si>
    <t xml:space="preserve">Old dummy resources (Enh 25942)</t>
  </si>
  <si>
    <t xml:space="preserve">Client sheet → this suite (non-mobile tabs only; the client's 'Mobile - Dummy Resource' tab was skipped)</t>
  </si>
  <si>
    <t xml:space="preserve">Client file: resources/Vann Brothers test cases/Vann Brothers test cases/AgriERP_Dummy_Resource_Test_Cases.xlsx</t>
  </si>
  <si>
    <t xml:space="preserve">Client TC</t>
  </si>
  <si>
    <t xml:space="preserve">Client tab</t>
  </si>
  <si>
    <t xml:space="preserve">Client scenario</t>
  </si>
  <si>
    <t xml:space="preserve">Note</t>
  </si>
  <si>
    <t xml:space="preserve">Web - Resource Selection</t>
  </si>
  <si>
    <t xml:space="preserve">"+" icon on Select Resources opens the dropdown</t>
  </si>
  <si>
    <t xml:space="preserve">Covered</t>
  </si>
  <si>
    <t xml:space="preserve">WEB-002</t>
  </si>
  <si>
    <t xml:space="preserve">Selecting "Add Dummy Resource" opens the dummy-filtered selection page</t>
  </si>
  <si>
    <t xml:space="preserve">WEB-003</t>
  </si>
  <si>
    <t xml:space="preserve">Dummy Resource Yes/No toggle is removed from the selection page</t>
  </si>
  <si>
    <t xml:space="preserve">DR-03, DR-04</t>
  </si>
  <si>
    <t xml:space="preserve">Both register pages assert no toggle.</t>
  </si>
  <si>
    <t xml:space="preserve">Resource Group filter narrows the dummy list</t>
  </si>
  <si>
    <t xml:space="preserve">Added</t>
  </si>
  <si>
    <t xml:space="preserve">Search by Resource Name filter works on the dummy list</t>
  </si>
  <si>
    <t xml:space="preserve">Search by Company Name filter works on the dummy list</t>
  </si>
  <si>
    <t xml:space="preserve">Reset clears all applied filters</t>
  </si>
  <si>
    <t xml:space="preserve">Fails live: Reset switches to the named register (FINDINGS #48).</t>
  </si>
  <si>
    <t xml:space="preserve">Resources already on the work order show the yellow "Dummy Resource" chip</t>
  </si>
  <si>
    <t xml:space="preserve">Chip verified live 2026-09-30.</t>
  </si>
  <si>
    <t xml:space="preserve">WEB-009</t>
  </si>
  <si>
    <t xml:space="preserve">"Add Resource" opens the named/actual resource register, not the dummy one</t>
  </si>
  <si>
    <t xml:space="preserve">WEB-010</t>
  </si>
  <si>
    <t xml:space="preserve">Register cannot be changed mid-selection (dummy vs. named)</t>
  </si>
  <si>
    <t xml:space="preserve">Same check as client WEB-003 (no in-page register switch).</t>
  </si>
  <si>
    <t xml:space="preserve">Multiple dummy resources can be selected and saved in one pass</t>
  </si>
  <si>
    <t xml:space="preserve">Dummy resources are maintained as flagged master data in Resource Management</t>
  </si>
  <si>
    <t xml:space="preserve">Machine Binding &amp; Window</t>
  </si>
  <si>
    <t xml:space="preserve">Machine binding window is derived from shift start time and planned hours</t>
  </si>
  <si>
    <t xml:space="preserve">BIND-002</t>
  </si>
  <si>
    <t xml:space="preserve">A machine bound for any part of the requested window is greyed out and tagged Bound</t>
  </si>
  <si>
    <t xml:space="preserve">Client adds the shift-window banner text from the mock; mobile, not added.</t>
  </si>
  <si>
    <t xml:space="preserve">BIND-003</t>
  </si>
  <si>
    <t xml:space="preserve">Selecting a Bound machine is blocked with an inline error</t>
  </si>
  <si>
    <t xml:space="preserve">BIND-004</t>
  </si>
  <si>
    <t xml:space="preserve">A machine with no conflicting window can be selected normally</t>
  </si>
  <si>
    <t xml:space="preserve">BIND-005</t>
  </si>
  <si>
    <t xml:space="preserve">Raising No. of Resources on an existing shift extends hours and the binding window end time</t>
  </si>
  <si>
    <t xml:space="preserve">BIND-006</t>
  </si>
  <si>
    <t xml:space="preserve">Headcount increase re-validates the machine only over the newly claimed (extra) time</t>
  </si>
  <si>
    <t xml:space="preserve">Re-check limited to the extra time isn't asserted separately. Mobile, not added.</t>
  </si>
  <si>
    <t xml:space="preserve">BIND-007</t>
  </si>
  <si>
    <t xml:space="preserve">Headcount increase is blocked when the machine was used by an actual (named) resource during the extra time</t>
  </si>
  <si>
    <t xml:space="preserve">BIND-008</t>
  </si>
  <si>
    <t xml:space="preserve">Headcount increase succeeds when the machine is free during the extra time</t>
  </si>
  <si>
    <t xml:space="preserve">BIND-009</t>
  </si>
  <si>
    <t xml:space="preserve">Both dummy and named resources may work with either an actual or a dummy machine</t>
  </si>
  <si>
    <t xml:space="preserve">BIND-010</t>
  </si>
  <si>
    <t xml:space="preserve">An actual machine is unavailable to any other crew for the whole bound window</t>
  </si>
  <si>
    <t xml:space="preserve">DRM-09 doesn't cover the machine being bound on a different WO. Mobile, not added.</t>
  </si>
  <si>
    <t xml:space="preserve">Validation Rules</t>
  </si>
  <si>
    <t xml:space="preserve">No. of Resources is mandatory and must be greater than zero (Web &amp; Mobile)</t>
  </si>
  <si>
    <t xml:space="preserve">DRM-04, DR-18</t>
  </si>
  <si>
    <t xml:space="preserve">The quantity is a mobile field: enforced at Start Job (DRM-04, API). 'Attachment optional' clause: DR-18. DR-06 retired.</t>
  </si>
  <si>
    <t xml:space="preserve">VAL-002</t>
  </si>
  <si>
    <t xml:space="preserve">Machine already bound for any part of a shift window cannot be selected</t>
  </si>
  <si>
    <t xml:space="preserve">VAL-003</t>
  </si>
  <si>
    <t xml:space="preserve">Headcount increase is re-validated and blocked on conflict with an actual resource</t>
  </si>
  <si>
    <t xml:space="preserve">VAL-004</t>
  </si>
  <si>
    <t xml:space="preserve">A named resource already on a running job cannot be selected again</t>
  </si>
  <si>
    <t xml:space="preserve">DR-09, DRM-13</t>
  </si>
  <si>
    <t xml:space="preserve">VAL-005</t>
  </si>
  <si>
    <t xml:space="preserve">Dummy resources are never blocked by a running job</t>
  </si>
  <si>
    <t xml:space="preserve">VAL-006</t>
  </si>
  <si>
    <t xml:space="preserve">Add Machine / Add Dummy Machine choice is shown only when the register holds a dummy asset of that kind</t>
  </si>
  <si>
    <t xml:space="preserve">VAL-007</t>
  </si>
  <si>
    <t xml:space="preserve">Selection page opens directly when the register holds no dummy asset of that kind</t>
  </si>
  <si>
    <t xml:space="preserve">VAL-008</t>
  </si>
  <si>
    <t xml:space="preserve">Both dummy and named resources may select from either asset register</t>
  </si>
  <si>
    <t xml:space="preserve">VAL-009</t>
  </si>
  <si>
    <t xml:space="preserve">Deleting a shift removes its hours and machine bindings from the plot total</t>
  </si>
  <si>
    <t xml:space="preserve">VAL-010</t>
  </si>
  <si>
    <t xml:space="preserve">Removing the last resource of a shift deletes the shift</t>
  </si>
  <si>
    <t xml:space="preserve">VAL-011</t>
  </si>
  <si>
    <t xml:space="preserve">Shift/resource deletion is blocked once the work order is completed and hours are posted</t>
  </si>
  <si>
    <t xml:space="preserve">VAL-012</t>
  </si>
  <si>
    <t xml:space="preserve">Hours logged equal No. of Resources × Standard Hours and are read-only</t>
  </si>
  <si>
    <t xml:space="preserve">VAL-013</t>
  </si>
  <si>
    <t xml:space="preserve">Machine/implement hours equal the hours of the resource they are attached to</t>
  </si>
  <si>
    <t xml:space="preserve">VAL-014</t>
  </si>
  <si>
    <t xml:space="preserve">Plot total equals the sum of resource hours and machine/implement hours</t>
  </si>
  <si>
    <t xml:space="preserve">INT-001</t>
  </si>
  <si>
    <t xml:space="preserve">Integrations</t>
  </si>
  <si>
    <t xml:space="preserve">Dummy resource hours post to the ERP project like a named resource's hours</t>
  </si>
  <si>
    <t xml:space="preserve">INT-002</t>
  </si>
  <si>
    <t xml:space="preserve">Posting is restricted when the work order/plot has no ERP project linkage</t>
  </si>
  <si>
    <t xml:space="preserve">INT-003</t>
  </si>
  <si>
    <t xml:space="preserve">Corrections made before completion are re-posted to ERP</t>
  </si>
  <si>
    <t xml:space="preserve">INT-004</t>
  </si>
  <si>
    <t xml:space="preserve">Hours become read-only after work order completion</t>
  </si>
  <si>
    <t xml:space="preserve">INT-005</t>
  </si>
  <si>
    <t xml:space="preserve">System-generated dummy resource logs appear on Hour Log Adjustment with headcount and standard hours</t>
  </si>
  <si>
    <t xml:space="preserve">INT-006</t>
  </si>
  <si>
    <t xml:space="preserve">Dummy resource hours are visible with source, device, and user on Web resource list, Spent Hours, and WO logs</t>
  </si>
  <si>
    <t xml:space="preserve">Extended</t>
  </si>
  <si>
    <t xml:space="preserve">DR-07 now also checks the work order logs.</t>
  </si>
  <si>
    <t xml:space="preserve">Dummy resource hours remain adjustable from Spent Hours until the work order is completed</t>
  </si>
  <si>
    <t xml:space="preserve">AUD-001</t>
  </si>
  <si>
    <t xml:space="preserve">Audit Trail</t>
  </si>
  <si>
    <t xml:space="preserve">Shift creation is logged with user, timestamp, source, and device</t>
  </si>
  <si>
    <t xml:space="preserve">AUD-002</t>
  </si>
  <si>
    <t xml:space="preserve">Shift corrections are logged with user, timestamp, source, and device</t>
  </si>
  <si>
    <t xml:space="preserve">AUD-003</t>
  </si>
  <si>
    <t xml:space="preserve">Audit entries are viewable inside Notifications</t>
  </si>
  <si>
    <t xml:space="preserve">AUD-004</t>
  </si>
  <si>
    <t xml:space="preserve">Audit entries are viewable inside "View All Logs"</t>
  </si>
  <si>
    <t xml:space="preserve">AUD-005</t>
  </si>
  <si>
    <t xml:space="preserve">Updated By and Updated Date/Time populate correctly after an edit</t>
  </si>
  <si>
    <t xml:space="preserve">Updated By / Updated Date/Time are Data Dictionary fields; the PSD doesn't name the screen that shows them. Not added.</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</si>
</sst>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595959"/>
      <name val="Arial"/>
      <family val="0"/>
      <charset val="1"/>
    </font>
    <font>
      <sz val="9"/>
      <color rgb="FF595959"/>
      <name val="Arial"/>
      <family val="0"/>
      <charset val="1"/>
    </font>
    <font>
      <b val="true"/>
      <sz val="11"/>
      <color rgb="FFFFFFFF"/>
      <name val="Arial"/>
      <family val="0"/>
      <charset val="1"/>
    </font>
    <font>
      <sz val="10"/>
      <name val="Arial"/>
      <family val="0"/>
      <charset val="1"/>
    </font>
    <font>
      <b val="true"/>
      <sz val="11"/>
      <name val="Arial"/>
      <family val="0"/>
      <charset val="1"/>
    </font>
    <font>
      <sz val="11"/>
      <name val="Arial"/>
      <family val="0"/>
      <charset val="1"/>
    </font>
    <font>
      <i val="true"/>
      <sz val="9"/>
      <color rgb="FFC00000"/>
      <name val="Arial"/>
      <family val="0"/>
      <charset val="1"/>
    </font>
    <font>
      <b val="true"/>
      <sz val="12"/>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rgb="FFFFFF00"/>
        <bgColor rgb="FFFFFF00"/>
      </patternFill>
    </fill>
    <fill>
      <patternFill patternType="solid">
        <fgColor rgb="FFFFFFFF"/>
        <bgColor rgb="FFFFF2CC"/>
      </patternFill>
    </fill>
    <fill>
      <patternFill patternType="solid">
        <fgColor rgb="FFE2EFDA"/>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FFFF00"/>
          <bgColor rgb="FF000000"/>
        </patternFill>
      </fill>
    </dxf>
    <dxf>
      <fill>
        <patternFill patternType="solid">
          <fgColor rgb="FFFCE4D6"/>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10"/>
    <col collapsed="false" customWidth="true" hidden="false" outlineLevel="0" max="4" min="4" style="0" width="20"/>
    <col collapsed="false" customWidth="true" hidden="false" outlineLevel="0" max="5" min="5" style="0" width="18"/>
    <col collapsed="false" customWidth="true" hidden="false" outlineLevel="0" max="6" min="6" style="0" width="10"/>
    <col collapsed="false" customWidth="true" hidden="false" outlineLevel="0" max="7" min="7" style="0" width="8"/>
    <col collapsed="false" customWidth="true" hidden="false" outlineLevel="0" max="8" min="8" style="0" width="14"/>
    <col collapsed="false" customWidth="true" hidden="false" outlineLevel="0" max="9" min="9" style="0" width="40"/>
    <col collapsed="false" customWidth="true" hidden="false" outlineLevel="0" max="10" min="10" style="0" width="55"/>
    <col collapsed="false" customWidth="true" hidden="false" outlineLevel="0" max="11" min="11" style="0" width="26"/>
    <col collapsed="false" customWidth="true" hidden="false" outlineLevel="0" max="12" min="12" style="0" width="48"/>
    <col collapsed="false" customWidth="true" hidden="false" outlineLevel="0" max="13" min="13" style="0" width="34"/>
    <col collapsed="false" customWidth="true" hidden="false" outlineLevel="0" max="14" min="14" style="0" width="24"/>
    <col collapsed="false" customWidth="true" hidden="false" outlineLevel="0" max="15" min="15" style="0" width="30"/>
    <col collapsed="false" customWidth="true" hidden="false" outlineLevel="0" max="16" min="16" style="0" width="16"/>
    <col collapsed="false" customWidth="true" hidden="false" outlineLevel="0" max="17" min="17" style="0" width="11"/>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26.85" hidden="false" customHeight="false" outlineLevel="0" collapsed="false">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row>
    <row r="6" customFormat="false" ht="57.45" hidden="false" customHeight="false" outlineLevel="0" collapsed="false">
      <c r="A6" s="5" t="s">
        <v>20</v>
      </c>
      <c r="B6" s="5" t="s">
        <v>21</v>
      </c>
      <c r="C6" s="6" t="s">
        <v>22</v>
      </c>
      <c r="D6" s="5" t="s">
        <v>23</v>
      </c>
      <c r="E6" s="5" t="s">
        <v>24</v>
      </c>
      <c r="F6" s="5" t="s">
        <v>25</v>
      </c>
      <c r="G6" s="5" t="s">
        <v>26</v>
      </c>
      <c r="H6" s="5" t="s">
        <v>27</v>
      </c>
      <c r="I6" s="5" t="s">
        <v>28</v>
      </c>
      <c r="J6" s="5" t="s">
        <v>29</v>
      </c>
      <c r="K6" s="5" t="s">
        <v>30</v>
      </c>
      <c r="L6" s="5" t="s">
        <v>31</v>
      </c>
      <c r="M6" s="5" t="s">
        <v>32</v>
      </c>
      <c r="N6" s="5" t="s">
        <v>33</v>
      </c>
      <c r="O6" s="5" t="s">
        <v>34</v>
      </c>
      <c r="P6" s="5" t="s">
        <v>35</v>
      </c>
      <c r="Q6" s="7" t="s">
        <v>36</v>
      </c>
    </row>
    <row r="7" customFormat="false" ht="57.45" hidden="false" customHeight="false" outlineLevel="0" collapsed="false">
      <c r="A7" s="5" t="s">
        <v>37</v>
      </c>
      <c r="B7" s="5" t="s">
        <v>38</v>
      </c>
      <c r="C7" s="8" t="s">
        <v>39</v>
      </c>
      <c r="D7" s="5" t="s">
        <v>23</v>
      </c>
      <c r="E7" s="5" t="s">
        <v>24</v>
      </c>
      <c r="F7" s="5" t="s">
        <v>25</v>
      </c>
      <c r="G7" s="5" t="s">
        <v>40</v>
      </c>
      <c r="H7" s="5" t="s">
        <v>41</v>
      </c>
      <c r="I7" s="5" t="s">
        <v>28</v>
      </c>
      <c r="J7" s="5" t="s">
        <v>42</v>
      </c>
      <c r="K7" s="5" t="s">
        <v>35</v>
      </c>
      <c r="L7" s="5" t="s">
        <v>43</v>
      </c>
      <c r="M7" s="5" t="s">
        <v>44</v>
      </c>
      <c r="N7" s="5" t="s">
        <v>33</v>
      </c>
      <c r="O7" s="5" t="s">
        <v>45</v>
      </c>
      <c r="P7" s="5" t="s">
        <v>46</v>
      </c>
      <c r="Q7" s="7" t="s">
        <v>36</v>
      </c>
    </row>
    <row r="8" customFormat="false" ht="57.45" hidden="false" customHeight="false" outlineLevel="0" collapsed="false">
      <c r="A8" s="5" t="s">
        <v>47</v>
      </c>
      <c r="B8" s="5" t="s">
        <v>48</v>
      </c>
      <c r="C8" s="8" t="s">
        <v>39</v>
      </c>
      <c r="D8" s="5" t="s">
        <v>23</v>
      </c>
      <c r="E8" s="5" t="s">
        <v>24</v>
      </c>
      <c r="F8" s="5" t="s">
        <v>25</v>
      </c>
      <c r="G8" s="5" t="s">
        <v>40</v>
      </c>
      <c r="H8" s="5" t="s">
        <v>41</v>
      </c>
      <c r="I8" s="5" t="s">
        <v>28</v>
      </c>
      <c r="J8" s="5" t="s">
        <v>49</v>
      </c>
      <c r="K8" s="5" t="s">
        <v>35</v>
      </c>
      <c r="L8" s="5" t="s">
        <v>50</v>
      </c>
      <c r="M8" s="5" t="s">
        <v>51</v>
      </c>
      <c r="N8" s="5" t="s">
        <v>33</v>
      </c>
      <c r="O8" s="5"/>
      <c r="P8" s="5" t="s">
        <v>52</v>
      </c>
      <c r="Q8" s="7" t="s">
        <v>36</v>
      </c>
    </row>
    <row r="9" customFormat="false" ht="57.45" hidden="false" customHeight="false" outlineLevel="0" collapsed="false">
      <c r="A9" s="5" t="s">
        <v>53</v>
      </c>
      <c r="B9" s="5" t="s">
        <v>54</v>
      </c>
      <c r="C9" s="8" t="s">
        <v>39</v>
      </c>
      <c r="D9" s="5" t="s">
        <v>23</v>
      </c>
      <c r="E9" s="5" t="s">
        <v>24</v>
      </c>
      <c r="F9" s="5" t="s">
        <v>25</v>
      </c>
      <c r="G9" s="5" t="s">
        <v>40</v>
      </c>
      <c r="H9" s="5" t="s">
        <v>55</v>
      </c>
      <c r="I9" s="5" t="s">
        <v>28</v>
      </c>
      <c r="J9" s="5" t="s">
        <v>56</v>
      </c>
      <c r="K9" s="5" t="s">
        <v>35</v>
      </c>
      <c r="L9" s="5" t="s">
        <v>57</v>
      </c>
      <c r="M9" s="5" t="s">
        <v>58</v>
      </c>
      <c r="N9" s="5" t="s">
        <v>33</v>
      </c>
      <c r="O9" s="5"/>
      <c r="P9" s="5" t="s">
        <v>59</v>
      </c>
      <c r="Q9" s="7" t="s">
        <v>36</v>
      </c>
    </row>
    <row r="10" customFormat="false" ht="68.65" hidden="false" customHeight="false" outlineLevel="0" collapsed="false">
      <c r="A10" s="5" t="s">
        <v>60</v>
      </c>
      <c r="B10" s="5" t="s">
        <v>61</v>
      </c>
      <c r="C10" s="8" t="s">
        <v>39</v>
      </c>
      <c r="D10" s="5" t="s">
        <v>23</v>
      </c>
      <c r="E10" s="5" t="s">
        <v>24</v>
      </c>
      <c r="F10" s="5" t="s">
        <v>25</v>
      </c>
      <c r="G10" s="5" t="s">
        <v>62</v>
      </c>
      <c r="H10" s="5" t="s">
        <v>63</v>
      </c>
      <c r="I10" s="5" t="s">
        <v>64</v>
      </c>
      <c r="J10" s="5" t="s">
        <v>65</v>
      </c>
      <c r="K10" s="5" t="s">
        <v>30</v>
      </c>
      <c r="L10" s="5" t="s">
        <v>66</v>
      </c>
      <c r="M10" s="5" t="s">
        <v>67</v>
      </c>
      <c r="N10" s="5" t="s">
        <v>33</v>
      </c>
      <c r="O10" s="5"/>
      <c r="P10" s="5" t="s">
        <v>68</v>
      </c>
      <c r="Q10" s="7" t="s">
        <v>36</v>
      </c>
    </row>
    <row r="11" customFormat="false" ht="35.05" hidden="false" customHeight="false" outlineLevel="0" collapsed="false">
      <c r="A11" s="5" t="s">
        <v>69</v>
      </c>
      <c r="B11" s="5" t="s">
        <v>70</v>
      </c>
      <c r="C11" s="6" t="s">
        <v>22</v>
      </c>
      <c r="D11" s="5" t="s">
        <v>71</v>
      </c>
      <c r="E11" s="5" t="s">
        <v>24</v>
      </c>
      <c r="F11" s="5" t="s">
        <v>25</v>
      </c>
      <c r="G11" s="5" t="s">
        <v>62</v>
      </c>
      <c r="H11" s="5" t="s">
        <v>35</v>
      </c>
      <c r="I11" s="5" t="s">
        <v>35</v>
      </c>
      <c r="J11" s="5" t="s">
        <v>35</v>
      </c>
      <c r="K11" s="5" t="s">
        <v>35</v>
      </c>
      <c r="L11" s="5" t="s">
        <v>72</v>
      </c>
      <c r="M11" s="5" t="s">
        <v>73</v>
      </c>
      <c r="N11" s="5" t="s">
        <v>74</v>
      </c>
      <c r="O11" s="5" t="s">
        <v>75</v>
      </c>
      <c r="P11" s="5" t="s">
        <v>35</v>
      </c>
      <c r="Q11" s="7" t="s">
        <v>76</v>
      </c>
    </row>
    <row r="12" customFormat="false" ht="57.45" hidden="false" customHeight="false" outlineLevel="0" collapsed="false">
      <c r="A12" s="5" t="s">
        <v>77</v>
      </c>
      <c r="B12" s="5" t="s">
        <v>78</v>
      </c>
      <c r="C12" s="6" t="s">
        <v>22</v>
      </c>
      <c r="D12" s="5" t="s">
        <v>79</v>
      </c>
      <c r="E12" s="5" t="s">
        <v>24</v>
      </c>
      <c r="F12" s="5" t="s">
        <v>25</v>
      </c>
      <c r="G12" s="5" t="s">
        <v>40</v>
      </c>
      <c r="H12" s="5" t="s">
        <v>80</v>
      </c>
      <c r="I12" s="5" t="s">
        <v>81</v>
      </c>
      <c r="J12" s="5" t="s">
        <v>82</v>
      </c>
      <c r="K12" s="5" t="s">
        <v>83</v>
      </c>
      <c r="L12" s="5" t="s">
        <v>84</v>
      </c>
      <c r="M12" s="5" t="s">
        <v>85</v>
      </c>
      <c r="N12" s="5" t="s">
        <v>86</v>
      </c>
      <c r="O12" s="5" t="s">
        <v>87</v>
      </c>
      <c r="P12" s="5" t="s">
        <v>88</v>
      </c>
      <c r="Q12" s="7" t="s">
        <v>76</v>
      </c>
    </row>
    <row r="13" customFormat="false" ht="57.45" hidden="false" customHeight="false" outlineLevel="0" collapsed="false">
      <c r="A13" s="5" t="s">
        <v>89</v>
      </c>
      <c r="B13" s="5" t="s">
        <v>90</v>
      </c>
      <c r="C13" s="8" t="s">
        <v>39</v>
      </c>
      <c r="D13" s="5" t="s">
        <v>79</v>
      </c>
      <c r="E13" s="5" t="s">
        <v>24</v>
      </c>
      <c r="F13" s="5" t="s">
        <v>91</v>
      </c>
      <c r="G13" s="5" t="s">
        <v>26</v>
      </c>
      <c r="H13" s="5" t="s">
        <v>92</v>
      </c>
      <c r="I13" s="5" t="s">
        <v>93</v>
      </c>
      <c r="J13" s="5" t="s">
        <v>94</v>
      </c>
      <c r="K13" s="5" t="s">
        <v>35</v>
      </c>
      <c r="L13" s="5" t="s">
        <v>95</v>
      </c>
      <c r="M13" s="5" t="s">
        <v>96</v>
      </c>
      <c r="N13" s="5" t="s">
        <v>97</v>
      </c>
      <c r="O13" s="5" t="s">
        <v>98</v>
      </c>
      <c r="P13" s="5" t="s">
        <v>99</v>
      </c>
      <c r="Q13" s="7" t="s">
        <v>76</v>
      </c>
    </row>
    <row r="14" customFormat="false" ht="46.25" hidden="false" customHeight="false" outlineLevel="0" collapsed="false">
      <c r="A14" s="5" t="s">
        <v>100</v>
      </c>
      <c r="B14" s="5" t="s">
        <v>101</v>
      </c>
      <c r="C14" s="8" t="s">
        <v>39</v>
      </c>
      <c r="D14" s="5" t="s">
        <v>102</v>
      </c>
      <c r="E14" s="5" t="s">
        <v>24</v>
      </c>
      <c r="F14" s="5" t="s">
        <v>25</v>
      </c>
      <c r="G14" s="5" t="s">
        <v>40</v>
      </c>
      <c r="H14" s="5" t="s">
        <v>103</v>
      </c>
      <c r="I14" s="5" t="s">
        <v>104</v>
      </c>
      <c r="J14" s="5" t="s">
        <v>105</v>
      </c>
      <c r="K14" s="5" t="s">
        <v>106</v>
      </c>
      <c r="L14" s="5" t="s">
        <v>107</v>
      </c>
      <c r="M14" s="5" t="s">
        <v>108</v>
      </c>
      <c r="N14" s="5" t="s">
        <v>109</v>
      </c>
      <c r="O14" s="5"/>
      <c r="P14" s="5" t="s">
        <v>110</v>
      </c>
      <c r="Q14" s="7" t="s">
        <v>76</v>
      </c>
    </row>
    <row r="15" customFormat="false" ht="46.25" hidden="false" customHeight="false" outlineLevel="0" collapsed="false">
      <c r="A15" s="5" t="s">
        <v>111</v>
      </c>
      <c r="B15" s="5" t="s">
        <v>112</v>
      </c>
      <c r="C15" s="9" t="s">
        <v>113</v>
      </c>
      <c r="D15" s="5" t="s">
        <v>114</v>
      </c>
      <c r="E15" s="5" t="s">
        <v>24</v>
      </c>
      <c r="F15" s="5" t="s">
        <v>25</v>
      </c>
      <c r="G15" s="5" t="s">
        <v>26</v>
      </c>
      <c r="H15" s="5" t="s">
        <v>115</v>
      </c>
      <c r="I15" s="5" t="s">
        <v>116</v>
      </c>
      <c r="J15" s="5" t="s">
        <v>117</v>
      </c>
      <c r="K15" s="5" t="s">
        <v>118</v>
      </c>
      <c r="L15" s="5" t="s">
        <v>119</v>
      </c>
      <c r="M15" s="5" t="s">
        <v>120</v>
      </c>
      <c r="N15" s="5" t="s">
        <v>121</v>
      </c>
      <c r="O15" s="5" t="s">
        <v>122</v>
      </c>
      <c r="P15" s="5" t="s">
        <v>35</v>
      </c>
      <c r="Q15" s="7" t="s">
        <v>76</v>
      </c>
    </row>
    <row r="16" customFormat="false" ht="68.65" hidden="false" customHeight="false" outlineLevel="0" collapsed="false">
      <c r="A16" s="5" t="s">
        <v>123</v>
      </c>
      <c r="B16" s="5" t="s">
        <v>124</v>
      </c>
      <c r="C16" s="9" t="s">
        <v>113</v>
      </c>
      <c r="D16" s="5" t="s">
        <v>23</v>
      </c>
      <c r="E16" s="5" t="s">
        <v>24</v>
      </c>
      <c r="F16" s="5" t="s">
        <v>25</v>
      </c>
      <c r="G16" s="5" t="s">
        <v>40</v>
      </c>
      <c r="H16" s="5" t="s">
        <v>41</v>
      </c>
      <c r="I16" s="5" t="s">
        <v>125</v>
      </c>
      <c r="J16" s="5" t="s">
        <v>126</v>
      </c>
      <c r="K16" s="5" t="s">
        <v>127</v>
      </c>
      <c r="L16" s="5" t="s">
        <v>128</v>
      </c>
      <c r="M16" s="5" t="s">
        <v>129</v>
      </c>
      <c r="N16" s="5" t="s">
        <v>130</v>
      </c>
      <c r="O16" s="5"/>
      <c r="P16" s="5" t="s">
        <v>131</v>
      </c>
      <c r="Q16" s="7" t="s">
        <v>132</v>
      </c>
    </row>
    <row r="17" customFormat="false" ht="68.65" hidden="false" customHeight="false" outlineLevel="0" collapsed="false">
      <c r="A17" s="5" t="s">
        <v>133</v>
      </c>
      <c r="B17" s="5" t="s">
        <v>134</v>
      </c>
      <c r="C17" s="9" t="s">
        <v>113</v>
      </c>
      <c r="D17" s="5" t="s">
        <v>23</v>
      </c>
      <c r="E17" s="5" t="s">
        <v>24</v>
      </c>
      <c r="F17" s="5" t="s">
        <v>25</v>
      </c>
      <c r="G17" s="5" t="s">
        <v>62</v>
      </c>
      <c r="H17" s="5" t="s">
        <v>41</v>
      </c>
      <c r="I17" s="5" t="s">
        <v>125</v>
      </c>
      <c r="J17" s="5" t="s">
        <v>135</v>
      </c>
      <c r="K17" s="5" t="s">
        <v>136</v>
      </c>
      <c r="L17" s="5" t="s">
        <v>137</v>
      </c>
      <c r="M17" s="5" t="s">
        <v>138</v>
      </c>
      <c r="N17" s="5" t="s">
        <v>33</v>
      </c>
      <c r="O17" s="5"/>
      <c r="P17" s="5" t="s">
        <v>139</v>
      </c>
      <c r="Q17" s="7" t="s">
        <v>36</v>
      </c>
    </row>
    <row r="18" customFormat="false" ht="68.65" hidden="false" customHeight="false" outlineLevel="0" collapsed="false">
      <c r="A18" s="5" t="s">
        <v>140</v>
      </c>
      <c r="B18" s="5" t="s">
        <v>141</v>
      </c>
      <c r="C18" s="9" t="s">
        <v>113</v>
      </c>
      <c r="D18" s="5" t="s">
        <v>23</v>
      </c>
      <c r="E18" s="5" t="s">
        <v>24</v>
      </c>
      <c r="F18" s="5" t="s">
        <v>25</v>
      </c>
      <c r="G18" s="5" t="s">
        <v>62</v>
      </c>
      <c r="H18" s="5" t="s">
        <v>41</v>
      </c>
      <c r="I18" s="5" t="s">
        <v>125</v>
      </c>
      <c r="J18" s="5" t="s">
        <v>142</v>
      </c>
      <c r="K18" s="5" t="s">
        <v>143</v>
      </c>
      <c r="L18" s="5" t="s">
        <v>144</v>
      </c>
      <c r="M18" s="5" t="s">
        <v>138</v>
      </c>
      <c r="N18" s="5" t="s">
        <v>145</v>
      </c>
      <c r="O18" s="5"/>
      <c r="P18" s="5" t="s">
        <v>146</v>
      </c>
      <c r="Q18" s="7" t="s">
        <v>132</v>
      </c>
    </row>
    <row r="19" customFormat="false" ht="68.65" hidden="false" customHeight="false" outlineLevel="0" collapsed="false">
      <c r="A19" s="5" t="s">
        <v>147</v>
      </c>
      <c r="B19" s="5" t="s">
        <v>148</v>
      </c>
      <c r="C19" s="9" t="s">
        <v>113</v>
      </c>
      <c r="D19" s="5" t="s">
        <v>23</v>
      </c>
      <c r="E19" s="5" t="s">
        <v>24</v>
      </c>
      <c r="F19" s="5" t="s">
        <v>25</v>
      </c>
      <c r="G19" s="5" t="s">
        <v>62</v>
      </c>
      <c r="H19" s="5" t="s">
        <v>41</v>
      </c>
      <c r="I19" s="5" t="s">
        <v>125</v>
      </c>
      <c r="J19" s="5" t="s">
        <v>149</v>
      </c>
      <c r="K19" s="5" t="s">
        <v>150</v>
      </c>
      <c r="L19" s="5" t="s">
        <v>151</v>
      </c>
      <c r="M19" s="5" t="s">
        <v>138</v>
      </c>
      <c r="N19" s="5" t="s">
        <v>152</v>
      </c>
      <c r="O19" s="5" t="s">
        <v>153</v>
      </c>
      <c r="P19" s="5" t="s">
        <v>154</v>
      </c>
      <c r="Q19" s="7" t="s">
        <v>155</v>
      </c>
    </row>
    <row r="20" customFormat="false" ht="57.45" hidden="false" customHeight="false" outlineLevel="0" collapsed="false">
      <c r="A20" s="5" t="s">
        <v>156</v>
      </c>
      <c r="B20" s="5" t="s">
        <v>157</v>
      </c>
      <c r="C20" s="9" t="s">
        <v>113</v>
      </c>
      <c r="D20" s="5" t="s">
        <v>23</v>
      </c>
      <c r="E20" s="5" t="s">
        <v>24</v>
      </c>
      <c r="F20" s="5" t="s">
        <v>25</v>
      </c>
      <c r="G20" s="5" t="s">
        <v>26</v>
      </c>
      <c r="H20" s="5" t="s">
        <v>41</v>
      </c>
      <c r="I20" s="5" t="s">
        <v>28</v>
      </c>
      <c r="J20" s="5" t="s">
        <v>158</v>
      </c>
      <c r="K20" s="5" t="s">
        <v>159</v>
      </c>
      <c r="L20" s="5" t="s">
        <v>160</v>
      </c>
      <c r="M20" s="5" t="s">
        <v>161</v>
      </c>
      <c r="N20" s="5" t="s">
        <v>162</v>
      </c>
      <c r="O20" s="5"/>
      <c r="P20" s="5" t="s">
        <v>163</v>
      </c>
      <c r="Q20" s="7" t="s">
        <v>36</v>
      </c>
    </row>
    <row r="21" customFormat="false" ht="46.25" hidden="false" customHeight="false" outlineLevel="0" collapsed="false">
      <c r="A21" s="5" t="s">
        <v>164</v>
      </c>
      <c r="B21" s="5" t="s">
        <v>165</v>
      </c>
      <c r="C21" s="9" t="s">
        <v>113</v>
      </c>
      <c r="D21" s="5" t="s">
        <v>23</v>
      </c>
      <c r="E21" s="5" t="s">
        <v>24</v>
      </c>
      <c r="F21" s="5" t="s">
        <v>25</v>
      </c>
      <c r="G21" s="5" t="s">
        <v>40</v>
      </c>
      <c r="H21" s="5" t="s">
        <v>41</v>
      </c>
      <c r="I21" s="5" t="s">
        <v>166</v>
      </c>
      <c r="J21" s="5" t="s">
        <v>167</v>
      </c>
      <c r="K21" s="5" t="s">
        <v>168</v>
      </c>
      <c r="L21" s="5" t="s">
        <v>169</v>
      </c>
      <c r="M21" s="5" t="s">
        <v>108</v>
      </c>
      <c r="N21" s="5" t="s">
        <v>170</v>
      </c>
      <c r="O21" s="5" t="s">
        <v>171</v>
      </c>
      <c r="P21" s="5" t="s">
        <v>172</v>
      </c>
      <c r="Q21" s="7" t="s">
        <v>76</v>
      </c>
    </row>
    <row r="22" customFormat="false" ht="57.45" hidden="false" customHeight="false" outlineLevel="0" collapsed="false">
      <c r="A22" s="5" t="s">
        <v>173</v>
      </c>
      <c r="B22" s="5" t="s">
        <v>174</v>
      </c>
      <c r="C22" s="9" t="s">
        <v>113</v>
      </c>
      <c r="D22" s="5" t="s">
        <v>79</v>
      </c>
      <c r="E22" s="5" t="s">
        <v>24</v>
      </c>
      <c r="F22" s="5" t="s">
        <v>25</v>
      </c>
      <c r="G22" s="5" t="s">
        <v>26</v>
      </c>
      <c r="H22" s="5" t="s">
        <v>41</v>
      </c>
      <c r="I22" s="5" t="s">
        <v>175</v>
      </c>
      <c r="J22" s="5" t="s">
        <v>176</v>
      </c>
      <c r="K22" s="5" t="s">
        <v>177</v>
      </c>
      <c r="L22" s="5" t="s">
        <v>178</v>
      </c>
      <c r="M22" s="5" t="s">
        <v>179</v>
      </c>
      <c r="N22" s="5" t="s">
        <v>180</v>
      </c>
      <c r="O22" s="5" t="s">
        <v>181</v>
      </c>
      <c r="P22" s="5" t="s">
        <v>182</v>
      </c>
      <c r="Q22" s="7" t="s">
        <v>76</v>
      </c>
    </row>
    <row r="23" customFormat="false" ht="57.45" hidden="false" customHeight="false" outlineLevel="0" collapsed="false">
      <c r="A23" s="5" t="s">
        <v>183</v>
      </c>
      <c r="B23" s="5" t="s">
        <v>184</v>
      </c>
      <c r="C23" s="9" t="s">
        <v>113</v>
      </c>
      <c r="D23" s="5" t="s">
        <v>71</v>
      </c>
      <c r="E23" s="5" t="s">
        <v>24</v>
      </c>
      <c r="F23" s="5" t="s">
        <v>25</v>
      </c>
      <c r="G23" s="5" t="s">
        <v>40</v>
      </c>
      <c r="H23" s="5" t="s">
        <v>185</v>
      </c>
      <c r="I23" s="5" t="s">
        <v>28</v>
      </c>
      <c r="J23" s="5" t="s">
        <v>186</v>
      </c>
      <c r="K23" s="5" t="s">
        <v>187</v>
      </c>
      <c r="L23" s="5" t="s">
        <v>188</v>
      </c>
      <c r="M23" s="5" t="s">
        <v>189</v>
      </c>
      <c r="N23" s="5" t="s">
        <v>190</v>
      </c>
      <c r="O23" s="5"/>
      <c r="P23" s="5" t="s">
        <v>191</v>
      </c>
      <c r="Q23" s="7" t="s">
        <v>36</v>
      </c>
    </row>
    <row r="24" customFormat="false" ht="68.65" hidden="false" customHeight="false" outlineLevel="0" collapsed="false">
      <c r="A24" s="5" t="s">
        <v>192</v>
      </c>
      <c r="B24" s="5" t="s">
        <v>193</v>
      </c>
      <c r="C24" s="9" t="s">
        <v>113</v>
      </c>
      <c r="D24" s="5" t="s">
        <v>23</v>
      </c>
      <c r="E24" s="5" t="s">
        <v>24</v>
      </c>
      <c r="F24" s="5" t="s">
        <v>25</v>
      </c>
      <c r="G24" s="5" t="s">
        <v>62</v>
      </c>
      <c r="H24" s="5" t="s">
        <v>63</v>
      </c>
      <c r="I24" s="5" t="s">
        <v>64</v>
      </c>
      <c r="J24" s="5" t="s">
        <v>194</v>
      </c>
      <c r="K24" s="5" t="s">
        <v>35</v>
      </c>
      <c r="L24" s="5" t="s">
        <v>195</v>
      </c>
      <c r="M24" s="5" t="s">
        <v>67</v>
      </c>
      <c r="N24" s="5" t="s">
        <v>196</v>
      </c>
      <c r="O24" s="5" t="s">
        <v>197</v>
      </c>
      <c r="P24" s="5" t="s">
        <v>35</v>
      </c>
      <c r="Q24" s="7" t="s">
        <v>155</v>
      </c>
    </row>
    <row r="25" customFormat="false" ht="57.45" hidden="false" customHeight="false" outlineLevel="0" collapsed="false">
      <c r="A25" s="5" t="s">
        <v>198</v>
      </c>
      <c r="B25" s="5" t="s">
        <v>199</v>
      </c>
      <c r="C25" s="8" t="s">
        <v>39</v>
      </c>
      <c r="D25" s="5" t="s">
        <v>200</v>
      </c>
      <c r="E25" s="5" t="s">
        <v>201</v>
      </c>
      <c r="F25" s="5" t="s">
        <v>202</v>
      </c>
      <c r="G25" s="5" t="s">
        <v>40</v>
      </c>
      <c r="H25" s="5" t="s">
        <v>63</v>
      </c>
      <c r="I25" s="5" t="s">
        <v>203</v>
      </c>
      <c r="J25" s="5" t="s">
        <v>204</v>
      </c>
      <c r="K25" s="5" t="s">
        <v>35</v>
      </c>
      <c r="L25" s="5" t="s">
        <v>205</v>
      </c>
      <c r="M25" s="5" t="s">
        <v>206</v>
      </c>
      <c r="N25" s="5" t="s">
        <v>207</v>
      </c>
      <c r="O25" s="5"/>
      <c r="P25" s="5" t="s">
        <v>35</v>
      </c>
      <c r="Q25" s="7" t="s">
        <v>76</v>
      </c>
    </row>
    <row r="26" customFormat="false" ht="68.65" hidden="false" customHeight="false" outlineLevel="0" collapsed="false">
      <c r="A26" s="5" t="s">
        <v>208</v>
      </c>
      <c r="B26" s="5" t="s">
        <v>209</v>
      </c>
      <c r="C26" s="8" t="s">
        <v>39</v>
      </c>
      <c r="D26" s="5" t="s">
        <v>200</v>
      </c>
      <c r="E26" s="5" t="s">
        <v>201</v>
      </c>
      <c r="F26" s="5" t="s">
        <v>202</v>
      </c>
      <c r="G26" s="5" t="s">
        <v>62</v>
      </c>
      <c r="H26" s="5" t="s">
        <v>63</v>
      </c>
      <c r="I26" s="5" t="s">
        <v>210</v>
      </c>
      <c r="J26" s="5" t="s">
        <v>211</v>
      </c>
      <c r="K26" s="5" t="s">
        <v>35</v>
      </c>
      <c r="L26" s="5" t="s">
        <v>212</v>
      </c>
      <c r="M26" s="5" t="s">
        <v>213</v>
      </c>
      <c r="N26" s="5" t="s">
        <v>207</v>
      </c>
      <c r="O26" s="5"/>
      <c r="P26" s="5" t="s">
        <v>35</v>
      </c>
      <c r="Q26" s="7" t="s">
        <v>76</v>
      </c>
    </row>
    <row r="27" customFormat="false" ht="57.45" hidden="false" customHeight="false" outlineLevel="0" collapsed="false">
      <c r="A27" s="5" t="s">
        <v>214</v>
      </c>
      <c r="B27" s="5" t="s">
        <v>215</v>
      </c>
      <c r="C27" s="8" t="s">
        <v>39</v>
      </c>
      <c r="D27" s="5" t="s">
        <v>200</v>
      </c>
      <c r="E27" s="5" t="s">
        <v>201</v>
      </c>
      <c r="F27" s="5" t="s">
        <v>202</v>
      </c>
      <c r="G27" s="5" t="s">
        <v>40</v>
      </c>
      <c r="H27" s="5" t="s">
        <v>41</v>
      </c>
      <c r="I27" s="5" t="s">
        <v>203</v>
      </c>
      <c r="J27" s="5" t="s">
        <v>216</v>
      </c>
      <c r="K27" s="5" t="s">
        <v>217</v>
      </c>
      <c r="L27" s="5" t="s">
        <v>218</v>
      </c>
      <c r="M27" s="5" t="s">
        <v>219</v>
      </c>
      <c r="N27" s="5" t="s">
        <v>207</v>
      </c>
      <c r="O27" s="5"/>
      <c r="P27" s="5" t="s">
        <v>35</v>
      </c>
      <c r="Q27" s="7" t="s">
        <v>76</v>
      </c>
    </row>
    <row r="28" customFormat="false" ht="68.65" hidden="false" customHeight="false" outlineLevel="0" collapsed="false">
      <c r="A28" s="5" t="s">
        <v>220</v>
      </c>
      <c r="B28" s="5" t="s">
        <v>221</v>
      </c>
      <c r="C28" s="8" t="s">
        <v>39</v>
      </c>
      <c r="D28" s="5" t="s">
        <v>200</v>
      </c>
      <c r="E28" s="5" t="s">
        <v>201</v>
      </c>
      <c r="F28" s="5" t="s">
        <v>202</v>
      </c>
      <c r="G28" s="5" t="s">
        <v>26</v>
      </c>
      <c r="H28" s="5" t="s">
        <v>103</v>
      </c>
      <c r="I28" s="5" t="s">
        <v>222</v>
      </c>
      <c r="J28" s="5" t="s">
        <v>223</v>
      </c>
      <c r="K28" s="5" t="s">
        <v>224</v>
      </c>
      <c r="L28" s="5" t="s">
        <v>225</v>
      </c>
      <c r="M28" s="5" t="s">
        <v>226</v>
      </c>
      <c r="N28" s="5" t="s">
        <v>227</v>
      </c>
      <c r="O28" s="5"/>
      <c r="P28" s="5" t="s">
        <v>191</v>
      </c>
      <c r="Q28" s="7" t="s">
        <v>36</v>
      </c>
    </row>
    <row r="29" customFormat="false" ht="68.65" hidden="false" customHeight="false" outlineLevel="0" collapsed="false">
      <c r="A29" s="5" t="s">
        <v>228</v>
      </c>
      <c r="B29" s="5" t="s">
        <v>229</v>
      </c>
      <c r="C29" s="8" t="s">
        <v>39</v>
      </c>
      <c r="D29" s="5" t="s">
        <v>200</v>
      </c>
      <c r="E29" s="5" t="s">
        <v>201</v>
      </c>
      <c r="F29" s="5" t="s">
        <v>202</v>
      </c>
      <c r="G29" s="5" t="s">
        <v>40</v>
      </c>
      <c r="H29" s="5" t="s">
        <v>41</v>
      </c>
      <c r="I29" s="5" t="s">
        <v>230</v>
      </c>
      <c r="J29" s="5" t="s">
        <v>231</v>
      </c>
      <c r="K29" s="5" t="s">
        <v>232</v>
      </c>
      <c r="L29" s="5" t="s">
        <v>233</v>
      </c>
      <c r="M29" s="5" t="s">
        <v>234</v>
      </c>
      <c r="N29" s="5" t="s">
        <v>207</v>
      </c>
      <c r="O29" s="5" t="s">
        <v>235</v>
      </c>
      <c r="P29" s="5" t="s">
        <v>236</v>
      </c>
      <c r="Q29" s="7" t="s">
        <v>76</v>
      </c>
    </row>
    <row r="30" customFormat="false" ht="68.65" hidden="false" customHeight="false" outlineLevel="0" collapsed="false">
      <c r="A30" s="5" t="s">
        <v>237</v>
      </c>
      <c r="B30" s="5" t="s">
        <v>238</v>
      </c>
      <c r="C30" s="8" t="s">
        <v>39</v>
      </c>
      <c r="D30" s="5" t="s">
        <v>200</v>
      </c>
      <c r="E30" s="5" t="s">
        <v>201</v>
      </c>
      <c r="F30" s="5" t="s">
        <v>202</v>
      </c>
      <c r="G30" s="5" t="s">
        <v>40</v>
      </c>
      <c r="H30" s="5" t="s">
        <v>41</v>
      </c>
      <c r="I30" s="5" t="s">
        <v>239</v>
      </c>
      <c r="J30" s="5" t="s">
        <v>240</v>
      </c>
      <c r="K30" s="5" t="s">
        <v>241</v>
      </c>
      <c r="L30" s="5" t="s">
        <v>242</v>
      </c>
      <c r="M30" s="5" t="s">
        <v>243</v>
      </c>
      <c r="N30" s="5" t="s">
        <v>207</v>
      </c>
      <c r="O30" s="5" t="s">
        <v>244</v>
      </c>
      <c r="P30" s="5" t="s">
        <v>35</v>
      </c>
      <c r="Q30" s="7" t="s">
        <v>76</v>
      </c>
    </row>
    <row r="31" customFormat="false" ht="68.65" hidden="false" customHeight="false" outlineLevel="0" collapsed="false">
      <c r="A31" s="5" t="s">
        <v>245</v>
      </c>
      <c r="B31" s="5" t="s">
        <v>246</v>
      </c>
      <c r="C31" s="8" t="s">
        <v>39</v>
      </c>
      <c r="D31" s="5" t="s">
        <v>247</v>
      </c>
      <c r="E31" s="5" t="s">
        <v>201</v>
      </c>
      <c r="F31" s="5" t="s">
        <v>202</v>
      </c>
      <c r="G31" s="5" t="s">
        <v>26</v>
      </c>
      <c r="H31" s="5" t="s">
        <v>41</v>
      </c>
      <c r="I31" s="5" t="s">
        <v>248</v>
      </c>
      <c r="J31" s="5" t="s">
        <v>249</v>
      </c>
      <c r="K31" s="5" t="s">
        <v>250</v>
      </c>
      <c r="L31" s="5" t="s">
        <v>251</v>
      </c>
      <c r="M31" s="5" t="s">
        <v>252</v>
      </c>
      <c r="N31" s="5" t="s">
        <v>227</v>
      </c>
      <c r="O31" s="5" t="s">
        <v>253</v>
      </c>
      <c r="P31" s="5" t="s">
        <v>254</v>
      </c>
      <c r="Q31" s="7" t="s">
        <v>36</v>
      </c>
    </row>
    <row r="32" customFormat="false" ht="46.25" hidden="false" customHeight="false" outlineLevel="0" collapsed="false">
      <c r="A32" s="5" t="s">
        <v>255</v>
      </c>
      <c r="B32" s="5" t="s">
        <v>256</v>
      </c>
      <c r="C32" s="8" t="s">
        <v>39</v>
      </c>
      <c r="D32" s="5" t="s">
        <v>257</v>
      </c>
      <c r="E32" s="5" t="s">
        <v>201</v>
      </c>
      <c r="F32" s="5" t="s">
        <v>202</v>
      </c>
      <c r="G32" s="5" t="s">
        <v>26</v>
      </c>
      <c r="H32" s="5" t="s">
        <v>41</v>
      </c>
      <c r="I32" s="5" t="s">
        <v>258</v>
      </c>
      <c r="J32" s="5" t="s">
        <v>259</v>
      </c>
      <c r="K32" s="5" t="s">
        <v>260</v>
      </c>
      <c r="L32" s="5" t="s">
        <v>261</v>
      </c>
      <c r="M32" s="5" t="s">
        <v>262</v>
      </c>
      <c r="N32" s="5" t="s">
        <v>227</v>
      </c>
      <c r="O32" s="5" t="s">
        <v>263</v>
      </c>
      <c r="P32" s="5" t="s">
        <v>264</v>
      </c>
      <c r="Q32" s="7" t="s">
        <v>36</v>
      </c>
    </row>
    <row r="33" customFormat="false" ht="68.65" hidden="false" customHeight="false" outlineLevel="0" collapsed="false">
      <c r="A33" s="5" t="s">
        <v>265</v>
      </c>
      <c r="B33" s="5" t="s">
        <v>266</v>
      </c>
      <c r="C33" s="8" t="s">
        <v>39</v>
      </c>
      <c r="D33" s="5" t="s">
        <v>257</v>
      </c>
      <c r="E33" s="5" t="s">
        <v>201</v>
      </c>
      <c r="F33" s="5" t="s">
        <v>202</v>
      </c>
      <c r="G33" s="5" t="s">
        <v>26</v>
      </c>
      <c r="H33" s="5" t="s">
        <v>103</v>
      </c>
      <c r="I33" s="5" t="s">
        <v>267</v>
      </c>
      <c r="J33" s="5" t="s">
        <v>268</v>
      </c>
      <c r="K33" s="5" t="s">
        <v>269</v>
      </c>
      <c r="L33" s="5" t="s">
        <v>270</v>
      </c>
      <c r="M33" s="5" t="s">
        <v>271</v>
      </c>
      <c r="N33" s="5" t="s">
        <v>227</v>
      </c>
      <c r="O33" s="5" t="s">
        <v>272</v>
      </c>
      <c r="P33" s="5" t="s">
        <v>273</v>
      </c>
      <c r="Q33" s="7" t="s">
        <v>36</v>
      </c>
    </row>
    <row r="34" customFormat="false" ht="102.2" hidden="false" customHeight="false" outlineLevel="0" collapsed="false">
      <c r="A34" s="5" t="s">
        <v>274</v>
      </c>
      <c r="B34" s="5" t="s">
        <v>275</v>
      </c>
      <c r="C34" s="6" t="s">
        <v>22</v>
      </c>
      <c r="D34" s="5" t="s">
        <v>247</v>
      </c>
      <c r="E34" s="5" t="s">
        <v>201</v>
      </c>
      <c r="F34" s="5" t="s">
        <v>202</v>
      </c>
      <c r="G34" s="5" t="s">
        <v>26</v>
      </c>
      <c r="H34" s="5" t="s">
        <v>115</v>
      </c>
      <c r="I34" s="5" t="s">
        <v>276</v>
      </c>
      <c r="J34" s="5" t="s">
        <v>277</v>
      </c>
      <c r="K34" s="5" t="s">
        <v>278</v>
      </c>
      <c r="L34" s="5" t="s">
        <v>279</v>
      </c>
      <c r="M34" s="5" t="s">
        <v>280</v>
      </c>
      <c r="N34" s="5" t="s">
        <v>227</v>
      </c>
      <c r="O34" s="5" t="s">
        <v>281</v>
      </c>
      <c r="P34" s="5" t="s">
        <v>35</v>
      </c>
      <c r="Q34" s="7" t="s">
        <v>36</v>
      </c>
    </row>
    <row r="35" customFormat="false" ht="91" hidden="false" customHeight="false" outlineLevel="0" collapsed="false">
      <c r="A35" s="5" t="s">
        <v>282</v>
      </c>
      <c r="B35" s="5" t="s">
        <v>283</v>
      </c>
      <c r="C35" s="9" t="s">
        <v>113</v>
      </c>
      <c r="D35" s="5" t="s">
        <v>247</v>
      </c>
      <c r="E35" s="5" t="s">
        <v>201</v>
      </c>
      <c r="F35" s="5" t="s">
        <v>202</v>
      </c>
      <c r="G35" s="5" t="s">
        <v>26</v>
      </c>
      <c r="H35" s="5" t="s">
        <v>115</v>
      </c>
      <c r="I35" s="5" t="s">
        <v>276</v>
      </c>
      <c r="J35" s="5" t="s">
        <v>284</v>
      </c>
      <c r="K35" s="5" t="s">
        <v>285</v>
      </c>
      <c r="L35" s="5" t="s">
        <v>286</v>
      </c>
      <c r="M35" s="5" t="s">
        <v>280</v>
      </c>
      <c r="N35" s="5" t="s">
        <v>287</v>
      </c>
      <c r="O35" s="5" t="s">
        <v>288</v>
      </c>
      <c r="P35" s="5" t="s">
        <v>35</v>
      </c>
      <c r="Q35" s="7" t="s">
        <v>36</v>
      </c>
    </row>
    <row r="36" customFormat="false" ht="102.2" hidden="false" customHeight="false" outlineLevel="0" collapsed="false">
      <c r="A36" s="5" t="s">
        <v>289</v>
      </c>
      <c r="B36" s="5" t="s">
        <v>290</v>
      </c>
      <c r="C36" s="9" t="s">
        <v>113</v>
      </c>
      <c r="D36" s="5" t="s">
        <v>247</v>
      </c>
      <c r="E36" s="5" t="s">
        <v>201</v>
      </c>
      <c r="F36" s="5" t="s">
        <v>202</v>
      </c>
      <c r="G36" s="5" t="s">
        <v>40</v>
      </c>
      <c r="H36" s="5" t="s">
        <v>41</v>
      </c>
      <c r="I36" s="5" t="s">
        <v>291</v>
      </c>
      <c r="J36" s="5" t="s">
        <v>292</v>
      </c>
      <c r="K36" s="5" t="s">
        <v>293</v>
      </c>
      <c r="L36" s="5" t="s">
        <v>294</v>
      </c>
      <c r="M36" s="5" t="s">
        <v>280</v>
      </c>
      <c r="N36" s="5" t="s">
        <v>227</v>
      </c>
      <c r="O36" s="5" t="s">
        <v>295</v>
      </c>
      <c r="P36" s="5" t="s">
        <v>35</v>
      </c>
      <c r="Q36" s="7" t="s">
        <v>36</v>
      </c>
    </row>
    <row r="37" customFormat="false" ht="113.4" hidden="false" customHeight="false" outlineLevel="0" collapsed="false">
      <c r="A37" s="5" t="s">
        <v>296</v>
      </c>
      <c r="B37" s="5" t="s">
        <v>297</v>
      </c>
      <c r="C37" s="9" t="s">
        <v>113</v>
      </c>
      <c r="D37" s="5" t="s">
        <v>247</v>
      </c>
      <c r="E37" s="5" t="s">
        <v>201</v>
      </c>
      <c r="F37" s="5" t="s">
        <v>202</v>
      </c>
      <c r="G37" s="5" t="s">
        <v>40</v>
      </c>
      <c r="H37" s="5" t="s">
        <v>41</v>
      </c>
      <c r="I37" s="5" t="s">
        <v>298</v>
      </c>
      <c r="J37" s="5" t="s">
        <v>299</v>
      </c>
      <c r="K37" s="5" t="s">
        <v>300</v>
      </c>
      <c r="L37" s="5" t="s">
        <v>301</v>
      </c>
      <c r="M37" s="5" t="s">
        <v>280</v>
      </c>
      <c r="N37" s="5" t="s">
        <v>227</v>
      </c>
      <c r="O37" s="5" t="s">
        <v>302</v>
      </c>
      <c r="P37" s="5" t="s">
        <v>35</v>
      </c>
      <c r="Q37" s="7" t="s">
        <v>36</v>
      </c>
    </row>
    <row r="38" customFormat="false" ht="79.85" hidden="false" customHeight="false" outlineLevel="0" collapsed="false">
      <c r="A38" s="5" t="s">
        <v>303</v>
      </c>
      <c r="B38" s="5" t="s">
        <v>304</v>
      </c>
      <c r="C38" s="8" t="s">
        <v>39</v>
      </c>
      <c r="D38" s="5" t="s">
        <v>257</v>
      </c>
      <c r="E38" s="5" t="s">
        <v>201</v>
      </c>
      <c r="F38" s="5" t="s">
        <v>202</v>
      </c>
      <c r="G38" s="5" t="s">
        <v>26</v>
      </c>
      <c r="H38" s="5" t="s">
        <v>55</v>
      </c>
      <c r="I38" s="5" t="s">
        <v>305</v>
      </c>
      <c r="J38" s="5" t="s">
        <v>306</v>
      </c>
      <c r="K38" s="5" t="s">
        <v>307</v>
      </c>
      <c r="L38" s="5" t="s">
        <v>308</v>
      </c>
      <c r="M38" s="5" t="s">
        <v>309</v>
      </c>
      <c r="N38" s="5" t="s">
        <v>227</v>
      </c>
      <c r="O38" s="5" t="s">
        <v>310</v>
      </c>
      <c r="P38" s="5" t="s">
        <v>311</v>
      </c>
      <c r="Q38" s="7" t="s">
        <v>36</v>
      </c>
    </row>
    <row r="39" customFormat="false" ht="57.45" hidden="false" customHeight="false" outlineLevel="0" collapsed="false">
      <c r="A39" s="5" t="s">
        <v>312</v>
      </c>
      <c r="B39" s="5" t="s">
        <v>313</v>
      </c>
      <c r="C39" s="8" t="s">
        <v>39</v>
      </c>
      <c r="D39" s="5" t="s">
        <v>314</v>
      </c>
      <c r="E39" s="5" t="s">
        <v>201</v>
      </c>
      <c r="F39" s="5" t="s">
        <v>202</v>
      </c>
      <c r="G39" s="5" t="s">
        <v>40</v>
      </c>
      <c r="H39" s="5" t="s">
        <v>41</v>
      </c>
      <c r="I39" s="5" t="s">
        <v>258</v>
      </c>
      <c r="J39" s="5" t="s">
        <v>315</v>
      </c>
      <c r="K39" s="5" t="s">
        <v>35</v>
      </c>
      <c r="L39" s="5" t="s">
        <v>316</v>
      </c>
      <c r="M39" s="5" t="s">
        <v>317</v>
      </c>
      <c r="N39" s="5" t="s">
        <v>227</v>
      </c>
      <c r="O39" s="5" t="s">
        <v>318</v>
      </c>
      <c r="P39" s="5" t="s">
        <v>319</v>
      </c>
      <c r="Q39" s="7" t="s">
        <v>36</v>
      </c>
    </row>
    <row r="40" customFormat="false" ht="68.65" hidden="false" customHeight="false" outlineLevel="0" collapsed="false">
      <c r="A40" s="5" t="s">
        <v>320</v>
      </c>
      <c r="B40" s="5" t="s">
        <v>321</v>
      </c>
      <c r="C40" s="8" t="s">
        <v>39</v>
      </c>
      <c r="D40" s="5" t="s">
        <v>314</v>
      </c>
      <c r="E40" s="5" t="s">
        <v>201</v>
      </c>
      <c r="F40" s="5" t="s">
        <v>202</v>
      </c>
      <c r="G40" s="5" t="s">
        <v>40</v>
      </c>
      <c r="H40" s="5" t="s">
        <v>103</v>
      </c>
      <c r="I40" s="5" t="s">
        <v>322</v>
      </c>
      <c r="J40" s="5" t="s">
        <v>323</v>
      </c>
      <c r="K40" s="5" t="s">
        <v>324</v>
      </c>
      <c r="L40" s="5" t="s">
        <v>325</v>
      </c>
      <c r="M40" s="5" t="s">
        <v>326</v>
      </c>
      <c r="N40" s="5" t="s">
        <v>327</v>
      </c>
      <c r="O40" s="5" t="s">
        <v>328</v>
      </c>
      <c r="P40" s="5" t="s">
        <v>110</v>
      </c>
      <c r="Q40" s="7" t="s">
        <v>36</v>
      </c>
    </row>
    <row r="41" customFormat="false" ht="57.45" hidden="false" customHeight="false" outlineLevel="0" collapsed="false">
      <c r="A41" s="5" t="s">
        <v>329</v>
      </c>
      <c r="B41" s="5" t="s">
        <v>330</v>
      </c>
      <c r="C41" s="8" t="s">
        <v>39</v>
      </c>
      <c r="D41" s="5" t="s">
        <v>314</v>
      </c>
      <c r="E41" s="5" t="s">
        <v>201</v>
      </c>
      <c r="F41" s="5" t="s">
        <v>202</v>
      </c>
      <c r="G41" s="5" t="s">
        <v>40</v>
      </c>
      <c r="H41" s="5" t="s">
        <v>41</v>
      </c>
      <c r="I41" s="5" t="s">
        <v>258</v>
      </c>
      <c r="J41" s="5" t="s">
        <v>331</v>
      </c>
      <c r="K41" s="5" t="s">
        <v>35</v>
      </c>
      <c r="L41" s="5" t="s">
        <v>332</v>
      </c>
      <c r="M41" s="5" t="s">
        <v>333</v>
      </c>
      <c r="N41" s="5" t="s">
        <v>334</v>
      </c>
      <c r="O41" s="5" t="s">
        <v>335</v>
      </c>
      <c r="P41" s="5" t="s">
        <v>336</v>
      </c>
      <c r="Q41" s="7" t="s">
        <v>155</v>
      </c>
    </row>
    <row r="42" customFormat="false" ht="57.45" hidden="false" customHeight="false" outlineLevel="0" collapsed="false">
      <c r="A42" s="5" t="s">
        <v>337</v>
      </c>
      <c r="B42" s="5" t="s">
        <v>338</v>
      </c>
      <c r="C42" s="9" t="s">
        <v>113</v>
      </c>
      <c r="D42" s="5" t="s">
        <v>339</v>
      </c>
      <c r="E42" s="5" t="s">
        <v>24</v>
      </c>
      <c r="F42" s="5" t="s">
        <v>25</v>
      </c>
      <c r="G42" s="5" t="s">
        <v>26</v>
      </c>
      <c r="H42" s="5" t="s">
        <v>340</v>
      </c>
      <c r="I42" s="5" t="s">
        <v>341</v>
      </c>
      <c r="J42" s="5" t="s">
        <v>342</v>
      </c>
      <c r="K42" s="5" t="s">
        <v>343</v>
      </c>
      <c r="L42" s="5" t="s">
        <v>344</v>
      </c>
      <c r="M42" s="5" t="s">
        <v>345</v>
      </c>
      <c r="N42" s="5" t="s">
        <v>346</v>
      </c>
      <c r="O42" s="5"/>
      <c r="P42" s="5" t="s">
        <v>35</v>
      </c>
      <c r="Q42" s="7" t="s">
        <v>76</v>
      </c>
    </row>
    <row r="43" customFormat="false" ht="46.25" hidden="false" customHeight="false" outlineLevel="0" collapsed="false">
      <c r="A43" s="5" t="s">
        <v>347</v>
      </c>
      <c r="B43" s="5" t="s">
        <v>348</v>
      </c>
      <c r="C43" s="9" t="s">
        <v>113</v>
      </c>
      <c r="D43" s="5" t="s">
        <v>339</v>
      </c>
      <c r="E43" s="5" t="s">
        <v>24</v>
      </c>
      <c r="F43" s="5" t="s">
        <v>25</v>
      </c>
      <c r="G43" s="5" t="s">
        <v>26</v>
      </c>
      <c r="H43" s="5" t="s">
        <v>340</v>
      </c>
      <c r="I43" s="5" t="s">
        <v>349</v>
      </c>
      <c r="J43" s="5" t="s">
        <v>350</v>
      </c>
      <c r="K43" s="5" t="s">
        <v>351</v>
      </c>
      <c r="L43" s="5" t="s">
        <v>352</v>
      </c>
      <c r="M43" s="5" t="s">
        <v>353</v>
      </c>
      <c r="N43" s="5" t="s">
        <v>354</v>
      </c>
      <c r="O43" s="5" t="s">
        <v>355</v>
      </c>
      <c r="P43" s="5" t="s">
        <v>35</v>
      </c>
      <c r="Q43" s="7" t="s">
        <v>76</v>
      </c>
    </row>
    <row r="44" customFormat="false" ht="57.45" hidden="false" customHeight="false" outlineLevel="0" collapsed="false">
      <c r="A44" s="5" t="s">
        <v>356</v>
      </c>
      <c r="B44" s="5" t="s">
        <v>357</v>
      </c>
      <c r="C44" s="9" t="s">
        <v>113</v>
      </c>
      <c r="D44" s="5" t="s">
        <v>339</v>
      </c>
      <c r="E44" s="5" t="s">
        <v>201</v>
      </c>
      <c r="F44" s="5" t="s">
        <v>202</v>
      </c>
      <c r="G44" s="5" t="s">
        <v>26</v>
      </c>
      <c r="H44" s="5" t="s">
        <v>340</v>
      </c>
      <c r="I44" s="5" t="s">
        <v>358</v>
      </c>
      <c r="J44" s="5" t="s">
        <v>359</v>
      </c>
      <c r="K44" s="5" t="s">
        <v>360</v>
      </c>
      <c r="L44" s="5" t="s">
        <v>361</v>
      </c>
      <c r="M44" s="5" t="s">
        <v>362</v>
      </c>
      <c r="N44" s="5" t="s">
        <v>363</v>
      </c>
      <c r="O44" s="5"/>
      <c r="P44" s="5" t="s">
        <v>35</v>
      </c>
      <c r="Q44" s="7" t="s">
        <v>76</v>
      </c>
    </row>
    <row r="45" customFormat="false" ht="46.25" hidden="false" customHeight="false" outlineLevel="0" collapsed="false">
      <c r="A45" s="5" t="s">
        <v>364</v>
      </c>
      <c r="B45" s="5" t="s">
        <v>365</v>
      </c>
      <c r="C45" s="9" t="s">
        <v>113</v>
      </c>
      <c r="D45" s="5" t="s">
        <v>339</v>
      </c>
      <c r="E45" s="5" t="s">
        <v>201</v>
      </c>
      <c r="F45" s="5" t="s">
        <v>202</v>
      </c>
      <c r="G45" s="5" t="s">
        <v>26</v>
      </c>
      <c r="H45" s="5" t="s">
        <v>340</v>
      </c>
      <c r="I45" s="5" t="s">
        <v>366</v>
      </c>
      <c r="J45" s="5" t="s">
        <v>367</v>
      </c>
      <c r="K45" s="5" t="s">
        <v>368</v>
      </c>
      <c r="L45" s="5" t="s">
        <v>369</v>
      </c>
      <c r="M45" s="5" t="s">
        <v>370</v>
      </c>
      <c r="N45" s="5" t="s">
        <v>363</v>
      </c>
      <c r="O45" s="5"/>
      <c r="P45" s="5" t="s">
        <v>35</v>
      </c>
      <c r="Q45" s="7" t="s">
        <v>76</v>
      </c>
    </row>
    <row r="46" customFormat="false" ht="46.25" hidden="false" customHeight="false" outlineLevel="0" collapsed="false">
      <c r="A46" s="5" t="s">
        <v>371</v>
      </c>
      <c r="B46" s="5" t="s">
        <v>372</v>
      </c>
      <c r="C46" s="9" t="s">
        <v>113</v>
      </c>
      <c r="D46" s="5" t="s">
        <v>339</v>
      </c>
      <c r="E46" s="5" t="s">
        <v>24</v>
      </c>
      <c r="F46" s="5" t="s">
        <v>25</v>
      </c>
      <c r="G46" s="5" t="s">
        <v>40</v>
      </c>
      <c r="H46" s="5" t="s">
        <v>340</v>
      </c>
      <c r="I46" s="5" t="s">
        <v>373</v>
      </c>
      <c r="J46" s="5" t="s">
        <v>374</v>
      </c>
      <c r="K46" s="5" t="s">
        <v>375</v>
      </c>
      <c r="L46" s="5" t="s">
        <v>376</v>
      </c>
      <c r="M46" s="5" t="s">
        <v>377</v>
      </c>
      <c r="N46" s="5" t="s">
        <v>170</v>
      </c>
      <c r="O46" s="5"/>
      <c r="P46" s="5" t="s">
        <v>35</v>
      </c>
      <c r="Q46" s="7" t="s">
        <v>76</v>
      </c>
    </row>
    <row r="47" customFormat="false" ht="46.25" hidden="false" customHeight="false" outlineLevel="0" collapsed="false">
      <c r="A47" s="5" t="s">
        <v>378</v>
      </c>
      <c r="B47" s="5" t="s">
        <v>379</v>
      </c>
      <c r="C47" s="9" t="s">
        <v>113</v>
      </c>
      <c r="D47" s="5" t="s">
        <v>339</v>
      </c>
      <c r="E47" s="5" t="s">
        <v>24</v>
      </c>
      <c r="F47" s="5" t="s">
        <v>25</v>
      </c>
      <c r="G47" s="5" t="s">
        <v>26</v>
      </c>
      <c r="H47" s="5" t="s">
        <v>340</v>
      </c>
      <c r="I47" s="5" t="s">
        <v>380</v>
      </c>
      <c r="J47" s="5" t="s">
        <v>381</v>
      </c>
      <c r="K47" s="5" t="s">
        <v>382</v>
      </c>
      <c r="L47" s="5" t="s">
        <v>383</v>
      </c>
      <c r="M47" s="5" t="s">
        <v>384</v>
      </c>
      <c r="N47" s="5" t="s">
        <v>170</v>
      </c>
      <c r="O47" s="5" t="s">
        <v>385</v>
      </c>
      <c r="P47" s="5" t="s">
        <v>35</v>
      </c>
      <c r="Q47" s="7" t="s">
        <v>76</v>
      </c>
    </row>
  </sheetData>
  <autoFilter ref="A5:Q47"/>
  <dataValidations count="1">
    <dataValidation allowBlank="true" errorStyle="stop" operator="between" showDropDown="false" showErrorMessage="false" showInputMessage="false" sqref="Q6:Q47"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0"/>
  </cols>
  <sheetData>
    <row r="1" customFormat="false" ht="16.15" hidden="false" customHeight="false" outlineLevel="0" collapsed="false">
      <c r="A1" s="1" t="s">
        <v>386</v>
      </c>
    </row>
    <row r="3" customFormat="false" ht="15" hidden="false" customHeight="false" outlineLevel="0" collapsed="false">
      <c r="A3" s="10" t="s">
        <v>387</v>
      </c>
      <c r="B3" s="10" t="s">
        <v>388</v>
      </c>
    </row>
    <row r="4" customFormat="false" ht="15" hidden="false" customHeight="false" outlineLevel="0" collapsed="false">
      <c r="A4" s="11" t="s">
        <v>113</v>
      </c>
      <c r="B4" s="11" t="n">
        <f aca="false">COUNTIF('Test Cases'!$C$6:$C$47,"New")</f>
        <v>19</v>
      </c>
    </row>
    <row r="5" customFormat="false" ht="15" hidden="false" customHeight="false" outlineLevel="0" collapsed="false">
      <c r="A5" s="11" t="s">
        <v>22</v>
      </c>
      <c r="B5" s="11" t="n">
        <f aca="false">COUNTIF('Test Cases'!$C$6:$C$47,"Updated")</f>
        <v>4</v>
      </c>
    </row>
    <row r="6" customFormat="false" ht="15" hidden="false" customHeight="false" outlineLevel="0" collapsed="false">
      <c r="A6" s="11" t="s">
        <v>39</v>
      </c>
      <c r="B6" s="11" t="n">
        <f aca="false">COUNTIF('Test Cases'!$C$6:$C$47,"Existing")</f>
        <v>19</v>
      </c>
    </row>
    <row r="7" customFormat="false" ht="15" hidden="false" customHeight="false" outlineLevel="0" collapsed="false">
      <c r="A7" s="10" t="s">
        <v>389</v>
      </c>
      <c r="B7" s="10" t="n">
        <f aca="false">SUM(B4:B6)</f>
        <v>42</v>
      </c>
    </row>
    <row r="9" customFormat="false" ht="15" hidden="false" customHeight="false" outlineLevel="0" collapsed="false">
      <c r="A9" s="10" t="s">
        <v>390</v>
      </c>
      <c r="B9" s="10" t="s">
        <v>388</v>
      </c>
    </row>
    <row r="10" customFormat="false" ht="15" hidden="false" customHeight="false" outlineLevel="0" collapsed="false">
      <c r="A10" s="11" t="s">
        <v>25</v>
      </c>
      <c r="B10" s="11" t="n">
        <f aca="false">COUNTIF('Test Cases'!$F$6:$F$47,"Web")</f>
        <v>22</v>
      </c>
    </row>
    <row r="11" customFormat="false" ht="15" hidden="false" customHeight="false" outlineLevel="0" collapsed="false">
      <c r="A11" s="11" t="s">
        <v>202</v>
      </c>
      <c r="B11" s="11" t="n">
        <f aca="false">COUNTIF('Test Cases'!$F$6:$F$47,"Mobile")</f>
        <v>19</v>
      </c>
    </row>
    <row r="12" customFormat="false" ht="15" hidden="false" customHeight="false" outlineLevel="0" collapsed="false">
      <c r="A12" s="11" t="s">
        <v>91</v>
      </c>
      <c r="B12" s="11" t="n">
        <f aca="false">COUNTIF('Test Cases'!$F$6:$F$47,"Web / D365")</f>
        <v>1</v>
      </c>
    </row>
    <row r="13" customFormat="false" ht="15" hidden="false" customHeight="false" outlineLevel="0" collapsed="false">
      <c r="A13" s="10" t="s">
        <v>389</v>
      </c>
      <c r="B13" s="10" t="n">
        <f aca="false">SUM(B10:B12)</f>
        <v>42</v>
      </c>
    </row>
    <row r="15" customFormat="false" ht="15" hidden="false" customHeight="false" outlineLevel="0" collapsed="false">
      <c r="A15" s="10" t="s">
        <v>391</v>
      </c>
      <c r="B15" s="10" t="s">
        <v>388</v>
      </c>
    </row>
    <row r="16" customFormat="false" ht="15" hidden="false" customHeight="false" outlineLevel="0" collapsed="false">
      <c r="A16" s="11" t="s">
        <v>26</v>
      </c>
      <c r="B16" s="11" t="n">
        <f aca="false">COUNTIF('Test Cases'!$G$6:$G$47,"P1")</f>
        <v>17</v>
      </c>
    </row>
    <row r="17" customFormat="false" ht="15" hidden="false" customHeight="false" outlineLevel="0" collapsed="false">
      <c r="A17" s="11" t="s">
        <v>40</v>
      </c>
      <c r="B17" s="11" t="n">
        <f aca="false">COUNTIF('Test Cases'!$G$6:$G$47,"P2")</f>
        <v>18</v>
      </c>
    </row>
    <row r="18" customFormat="false" ht="15" hidden="false" customHeight="false" outlineLevel="0" collapsed="false">
      <c r="A18" s="11" t="s">
        <v>62</v>
      </c>
      <c r="B18" s="11" t="n">
        <f aca="false">COUNTIF('Test Cases'!$G$6:$G$47,"P3")</f>
        <v>7</v>
      </c>
    </row>
    <row r="19" customFormat="false" ht="15" hidden="false" customHeight="false" outlineLevel="0" collapsed="false">
      <c r="A19" s="10" t="s">
        <v>389</v>
      </c>
      <c r="B19" s="10" t="n">
        <f aca="false">SUM(B16:B18)</f>
        <v>42</v>
      </c>
    </row>
    <row r="21" customFormat="false" ht="15" hidden="false" customHeight="false" outlineLevel="0" collapsed="false">
      <c r="A21" s="10" t="s">
        <v>392</v>
      </c>
      <c r="B21" s="10" t="s">
        <v>388</v>
      </c>
    </row>
    <row r="22" customFormat="false" ht="15" hidden="false" customHeight="false" outlineLevel="0" collapsed="false">
      <c r="A22" s="11" t="s">
        <v>36</v>
      </c>
      <c r="B22" s="11" t="n">
        <f aca="false">COUNTIF('Test Cases'!$Q$6:$Q$47,"Pass")</f>
        <v>19</v>
      </c>
    </row>
    <row r="23" customFormat="false" ht="15" hidden="false" customHeight="false" outlineLevel="0" collapsed="false">
      <c r="A23" s="11" t="s">
        <v>155</v>
      </c>
      <c r="B23" s="11" t="n">
        <f aca="false">COUNTIF('Test Cases'!$Q$6:$Q$47,"Fail")</f>
        <v>3</v>
      </c>
    </row>
    <row r="24" customFormat="false" ht="15" hidden="false" customHeight="false" outlineLevel="0" collapsed="false">
      <c r="A24" s="11" t="s">
        <v>132</v>
      </c>
      <c r="B24" s="11" t="n">
        <f aca="false">COUNTIF('Test Cases'!$Q$6:$Q$47,"Blocked")</f>
        <v>2</v>
      </c>
    </row>
    <row r="25" customFormat="false" ht="15" hidden="false" customHeight="false" outlineLevel="0" collapsed="false">
      <c r="A25" s="11" t="s">
        <v>76</v>
      </c>
      <c r="B25" s="11" t="n">
        <f aca="false">COUNTIF('Test Cases'!$Q$6:$Q$47,"Not Run")</f>
        <v>18</v>
      </c>
    </row>
    <row r="26" customFormat="false" ht="15" hidden="false" customHeight="false" outlineLevel="0" collapsed="false">
      <c r="A26" s="10" t="s">
        <v>389</v>
      </c>
      <c r="B26" s="10" t="n">
        <f aca="false">SUM(B22:B25)</f>
        <v>42</v>
      </c>
    </row>
    <row r="28" customFormat="false" ht="15" hidden="false" customHeight="false" outlineLevel="0" collapsed="false">
      <c r="A28" s="12" t="s">
        <v>393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70"/>
    <col collapsed="false" customWidth="true" hidden="false" outlineLevel="0" max="3" min="3" style="0" width="34"/>
    <col collapsed="false" customWidth="true" hidden="false" outlineLevel="0" max="4" min="4" style="0" width="36"/>
  </cols>
  <sheetData>
    <row r="1" customFormat="false" ht="15" hidden="false" customHeight="false" outlineLevel="0" collapsed="false">
      <c r="A1" s="13" t="s">
        <v>394</v>
      </c>
    </row>
    <row r="2" customFormat="false" ht="15" hidden="false" customHeight="false" outlineLevel="0" collapsed="false">
      <c r="A2" s="2" t="s">
        <v>395</v>
      </c>
    </row>
    <row r="4" customFormat="false" ht="15" hidden="false" customHeight="false" outlineLevel="0" collapsed="false">
      <c r="A4" s="14" t="s">
        <v>396</v>
      </c>
      <c r="B4" s="14" t="s">
        <v>397</v>
      </c>
      <c r="C4" s="14" t="s">
        <v>398</v>
      </c>
      <c r="D4" s="14" t="s">
        <v>399</v>
      </c>
    </row>
    <row r="5" customFormat="false" ht="23.85" hidden="false" customHeight="false" outlineLevel="0" collapsed="false">
      <c r="A5" s="5" t="s">
        <v>400</v>
      </c>
      <c r="B5" s="5" t="s">
        <v>401</v>
      </c>
      <c r="C5" s="5" t="s">
        <v>402</v>
      </c>
      <c r="D5" s="5" t="s">
        <v>403</v>
      </c>
    </row>
    <row r="6" customFormat="false" ht="15" hidden="false" customHeight="false" outlineLevel="0" collapsed="false">
      <c r="A6" s="5" t="s">
        <v>400</v>
      </c>
      <c r="B6" s="5" t="s">
        <v>404</v>
      </c>
      <c r="C6" s="5" t="s">
        <v>255</v>
      </c>
      <c r="D6" s="5" t="s">
        <v>403</v>
      </c>
    </row>
    <row r="7" customFormat="false" ht="15" hidden="false" customHeight="false" outlineLevel="0" collapsed="false">
      <c r="A7" s="5" t="s">
        <v>400</v>
      </c>
      <c r="B7" s="5" t="s">
        <v>405</v>
      </c>
      <c r="C7" s="5" t="s">
        <v>406</v>
      </c>
      <c r="D7" s="5" t="s">
        <v>403</v>
      </c>
    </row>
    <row r="8" customFormat="false" ht="15" hidden="false" customHeight="false" outlineLevel="0" collapsed="false">
      <c r="A8" s="5" t="s">
        <v>400</v>
      </c>
      <c r="B8" s="5" t="s">
        <v>407</v>
      </c>
      <c r="C8" s="5" t="s">
        <v>408</v>
      </c>
      <c r="D8" s="5" t="s">
        <v>403</v>
      </c>
    </row>
    <row r="9" customFormat="false" ht="23.85" hidden="false" customHeight="false" outlineLevel="0" collapsed="false">
      <c r="A9" s="5" t="s">
        <v>400</v>
      </c>
      <c r="B9" s="5" t="s">
        <v>409</v>
      </c>
      <c r="C9" s="5" t="s">
        <v>410</v>
      </c>
      <c r="D9" s="5" t="s">
        <v>411</v>
      </c>
    </row>
    <row r="10" customFormat="false" ht="15" hidden="false" customHeight="false" outlineLevel="0" collapsed="false">
      <c r="A10" s="5" t="s">
        <v>400</v>
      </c>
      <c r="B10" s="5" t="s">
        <v>412</v>
      </c>
      <c r="C10" s="5" t="s">
        <v>329</v>
      </c>
      <c r="D10" s="5" t="s">
        <v>403</v>
      </c>
    </row>
    <row r="11" customFormat="false" ht="15" hidden="false" customHeight="false" outlineLevel="0" collapsed="false">
      <c r="A11" s="5" t="s">
        <v>400</v>
      </c>
      <c r="B11" s="5" t="s">
        <v>413</v>
      </c>
      <c r="C11" s="5" t="s">
        <v>414</v>
      </c>
      <c r="D11" s="5" t="s">
        <v>170</v>
      </c>
    </row>
    <row r="12" customFormat="false" ht="15" hidden="false" customHeight="false" outlineLevel="0" collapsed="false">
      <c r="A12" s="5" t="s">
        <v>415</v>
      </c>
      <c r="B12" s="5" t="s">
        <v>416</v>
      </c>
      <c r="C12" s="5" t="s">
        <v>337</v>
      </c>
      <c r="D12" s="5" t="s">
        <v>417</v>
      </c>
    </row>
    <row r="13" customFormat="false" ht="15" hidden="false" customHeight="false" outlineLevel="0" collapsed="false">
      <c r="A13" s="5" t="s">
        <v>418</v>
      </c>
      <c r="B13" s="5" t="s">
        <v>419</v>
      </c>
      <c r="C13" s="5" t="s">
        <v>347</v>
      </c>
      <c r="D13" s="5" t="s">
        <v>417</v>
      </c>
    </row>
    <row r="14" customFormat="false" ht="15" hidden="false" customHeight="false" outlineLevel="0" collapsed="false">
      <c r="A14" s="5" t="s">
        <v>420</v>
      </c>
      <c r="B14" s="5" t="s">
        <v>421</v>
      </c>
      <c r="C14" s="5" t="s">
        <v>356</v>
      </c>
      <c r="D14" s="5" t="s">
        <v>170</v>
      </c>
    </row>
    <row r="15" customFormat="false" ht="15" hidden="false" customHeight="false" outlineLevel="0" collapsed="false">
      <c r="A15" s="5" t="s">
        <v>422</v>
      </c>
      <c r="B15" s="5" t="s">
        <v>423</v>
      </c>
      <c r="C15" s="5" t="s">
        <v>364</v>
      </c>
      <c r="D15" s="5" t="s">
        <v>170</v>
      </c>
    </row>
    <row r="16" customFormat="false" ht="15" hidden="false" customHeight="false" outlineLevel="0" collapsed="false">
      <c r="A16" s="5" t="s">
        <v>424</v>
      </c>
      <c r="B16" s="5" t="s">
        <v>425</v>
      </c>
      <c r="C16" s="5" t="s">
        <v>371</v>
      </c>
      <c r="D16" s="5" t="s">
        <v>170</v>
      </c>
    </row>
    <row r="17" customFormat="false" ht="15" hidden="false" customHeight="false" outlineLevel="0" collapsed="false">
      <c r="A17" s="5" t="s">
        <v>426</v>
      </c>
      <c r="B17" s="5" t="s">
        <v>427</v>
      </c>
      <c r="C17" s="5" t="s">
        <v>378</v>
      </c>
      <c r="D17" s="5" t="s">
        <v>170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50"/>
    <col collapsed="false" customWidth="true" hidden="false" outlineLevel="0" max="4" min="4" style="0" width="18"/>
    <col collapsed="false" customWidth="true" hidden="false" outlineLevel="0" max="5" min="5" style="0" width="11"/>
    <col collapsed="false" customWidth="true" hidden="false" outlineLevel="0" max="6" min="6" style="0" width="60"/>
  </cols>
  <sheetData>
    <row r="1" customFormat="false" ht="15" hidden="false" customHeight="false" outlineLevel="0" collapsed="false">
      <c r="A1" s="13" t="s">
        <v>428</v>
      </c>
    </row>
    <row r="2" customFormat="false" ht="15" hidden="false" customHeight="false" outlineLevel="0" collapsed="false">
      <c r="A2" s="2" t="s">
        <v>429</v>
      </c>
    </row>
    <row r="4" customFormat="false" ht="15" hidden="false" customHeight="false" outlineLevel="0" collapsed="false">
      <c r="A4" s="14" t="s">
        <v>430</v>
      </c>
      <c r="B4" s="14" t="s">
        <v>431</v>
      </c>
      <c r="C4" s="14" t="s">
        <v>432</v>
      </c>
      <c r="D4" s="14" t="s">
        <v>398</v>
      </c>
      <c r="E4" s="14" t="s">
        <v>399</v>
      </c>
      <c r="F4" s="14" t="s">
        <v>433</v>
      </c>
    </row>
    <row r="5" customFormat="false" ht="15" hidden="false" customHeight="false" outlineLevel="0" collapsed="false">
      <c r="A5" s="5" t="s">
        <v>46</v>
      </c>
      <c r="B5" s="5" t="s">
        <v>434</v>
      </c>
      <c r="C5" s="5" t="s">
        <v>435</v>
      </c>
      <c r="D5" s="5" t="s">
        <v>37</v>
      </c>
      <c r="E5" s="8" t="s">
        <v>436</v>
      </c>
      <c r="F5" s="5"/>
    </row>
    <row r="6" customFormat="false" ht="23.85" hidden="false" customHeight="false" outlineLevel="0" collapsed="false">
      <c r="A6" s="5" t="s">
        <v>437</v>
      </c>
      <c r="B6" s="5" t="s">
        <v>434</v>
      </c>
      <c r="C6" s="5" t="s">
        <v>438</v>
      </c>
      <c r="D6" s="5" t="s">
        <v>47</v>
      </c>
      <c r="E6" s="8" t="s">
        <v>436</v>
      </c>
      <c r="F6" s="5"/>
    </row>
    <row r="7" customFormat="false" ht="23.85" hidden="false" customHeight="false" outlineLevel="0" collapsed="false">
      <c r="A7" s="5" t="s">
        <v>439</v>
      </c>
      <c r="B7" s="5" t="s">
        <v>434</v>
      </c>
      <c r="C7" s="5" t="s">
        <v>440</v>
      </c>
      <c r="D7" s="5" t="s">
        <v>441</v>
      </c>
      <c r="E7" s="8" t="s">
        <v>436</v>
      </c>
      <c r="F7" s="5" t="s">
        <v>442</v>
      </c>
    </row>
    <row r="8" customFormat="false" ht="15" hidden="false" customHeight="false" outlineLevel="0" collapsed="false">
      <c r="A8" s="5" t="s">
        <v>131</v>
      </c>
      <c r="B8" s="5" t="s">
        <v>434</v>
      </c>
      <c r="C8" s="5" t="s">
        <v>443</v>
      </c>
      <c r="D8" s="5" t="s">
        <v>123</v>
      </c>
      <c r="E8" s="9" t="s">
        <v>444</v>
      </c>
      <c r="F8" s="5"/>
    </row>
    <row r="9" customFormat="false" ht="15" hidden="false" customHeight="false" outlineLevel="0" collapsed="false">
      <c r="A9" s="5" t="s">
        <v>139</v>
      </c>
      <c r="B9" s="5" t="s">
        <v>434</v>
      </c>
      <c r="C9" s="5" t="s">
        <v>445</v>
      </c>
      <c r="D9" s="5" t="s">
        <v>133</v>
      </c>
      <c r="E9" s="9" t="s">
        <v>444</v>
      </c>
      <c r="F9" s="5"/>
    </row>
    <row r="10" customFormat="false" ht="15" hidden="false" customHeight="false" outlineLevel="0" collapsed="false">
      <c r="A10" s="5" t="s">
        <v>146</v>
      </c>
      <c r="B10" s="5" t="s">
        <v>434</v>
      </c>
      <c r="C10" s="5" t="s">
        <v>446</v>
      </c>
      <c r="D10" s="5" t="s">
        <v>140</v>
      </c>
      <c r="E10" s="9" t="s">
        <v>444</v>
      </c>
      <c r="F10" s="5"/>
    </row>
    <row r="11" customFormat="false" ht="15" hidden="false" customHeight="false" outlineLevel="0" collapsed="false">
      <c r="A11" s="5" t="s">
        <v>154</v>
      </c>
      <c r="B11" s="5" t="s">
        <v>434</v>
      </c>
      <c r="C11" s="5" t="s">
        <v>447</v>
      </c>
      <c r="D11" s="5" t="s">
        <v>147</v>
      </c>
      <c r="E11" s="9" t="s">
        <v>444</v>
      </c>
      <c r="F11" s="5" t="s">
        <v>448</v>
      </c>
    </row>
    <row r="12" customFormat="false" ht="23.85" hidden="false" customHeight="false" outlineLevel="0" collapsed="false">
      <c r="A12" s="5" t="s">
        <v>68</v>
      </c>
      <c r="B12" s="5" t="s">
        <v>434</v>
      </c>
      <c r="C12" s="5" t="s">
        <v>449</v>
      </c>
      <c r="D12" s="5" t="s">
        <v>60</v>
      </c>
      <c r="E12" s="8" t="s">
        <v>436</v>
      </c>
      <c r="F12" s="5" t="s">
        <v>450</v>
      </c>
    </row>
    <row r="13" customFormat="false" ht="23.85" hidden="false" customHeight="false" outlineLevel="0" collapsed="false">
      <c r="A13" s="5" t="s">
        <v>451</v>
      </c>
      <c r="B13" s="5" t="s">
        <v>434</v>
      </c>
      <c r="C13" s="5" t="s">
        <v>452</v>
      </c>
      <c r="D13" s="5" t="s">
        <v>53</v>
      </c>
      <c r="E13" s="8" t="s">
        <v>436</v>
      </c>
      <c r="F13" s="5"/>
    </row>
    <row r="14" customFormat="false" ht="23.85" hidden="false" customHeight="false" outlineLevel="0" collapsed="false">
      <c r="A14" s="5" t="s">
        <v>453</v>
      </c>
      <c r="B14" s="5" t="s">
        <v>434</v>
      </c>
      <c r="C14" s="5" t="s">
        <v>454</v>
      </c>
      <c r="D14" s="5" t="s">
        <v>441</v>
      </c>
      <c r="E14" s="8" t="s">
        <v>436</v>
      </c>
      <c r="F14" s="5" t="s">
        <v>455</v>
      </c>
    </row>
    <row r="15" customFormat="false" ht="23.85" hidden="false" customHeight="false" outlineLevel="0" collapsed="false">
      <c r="A15" s="5" t="s">
        <v>163</v>
      </c>
      <c r="B15" s="5" t="s">
        <v>434</v>
      </c>
      <c r="C15" s="5" t="s">
        <v>456</v>
      </c>
      <c r="D15" s="5" t="s">
        <v>156</v>
      </c>
      <c r="E15" s="9" t="s">
        <v>444</v>
      </c>
      <c r="F15" s="5"/>
    </row>
    <row r="16" customFormat="false" ht="23.85" hidden="false" customHeight="false" outlineLevel="0" collapsed="false">
      <c r="A16" s="5" t="s">
        <v>172</v>
      </c>
      <c r="B16" s="5" t="s">
        <v>434</v>
      </c>
      <c r="C16" s="5" t="s">
        <v>457</v>
      </c>
      <c r="D16" s="5" t="s">
        <v>164</v>
      </c>
      <c r="E16" s="9" t="s">
        <v>444</v>
      </c>
      <c r="F16" s="5"/>
    </row>
    <row r="17" customFormat="false" ht="23.85" hidden="false" customHeight="false" outlineLevel="0" collapsed="false">
      <c r="A17" s="5" t="s">
        <v>254</v>
      </c>
      <c r="B17" s="5" t="s">
        <v>458</v>
      </c>
      <c r="C17" s="5" t="s">
        <v>459</v>
      </c>
      <c r="D17" s="5" t="s">
        <v>245</v>
      </c>
      <c r="E17" s="8" t="s">
        <v>436</v>
      </c>
      <c r="F17" s="5"/>
    </row>
    <row r="18" customFormat="false" ht="23.85" hidden="false" customHeight="false" outlineLevel="0" collapsed="false">
      <c r="A18" s="5" t="s">
        <v>460</v>
      </c>
      <c r="B18" s="5" t="s">
        <v>458</v>
      </c>
      <c r="C18" s="5" t="s">
        <v>461</v>
      </c>
      <c r="D18" s="5" t="s">
        <v>265</v>
      </c>
      <c r="E18" s="8" t="s">
        <v>436</v>
      </c>
      <c r="F18" s="5" t="s">
        <v>462</v>
      </c>
    </row>
    <row r="19" customFormat="false" ht="15" hidden="false" customHeight="false" outlineLevel="0" collapsed="false">
      <c r="A19" s="5" t="s">
        <v>463</v>
      </c>
      <c r="B19" s="5" t="s">
        <v>458</v>
      </c>
      <c r="C19" s="5" t="s">
        <v>464</v>
      </c>
      <c r="D19" s="5" t="s">
        <v>265</v>
      </c>
      <c r="E19" s="8" t="s">
        <v>436</v>
      </c>
      <c r="F19" s="5"/>
    </row>
    <row r="20" customFormat="false" ht="23.85" hidden="false" customHeight="false" outlineLevel="0" collapsed="false">
      <c r="A20" s="5" t="s">
        <v>465</v>
      </c>
      <c r="B20" s="5" t="s">
        <v>458</v>
      </c>
      <c r="C20" s="5" t="s">
        <v>466</v>
      </c>
      <c r="D20" s="5" t="s">
        <v>228</v>
      </c>
      <c r="E20" s="8" t="s">
        <v>436</v>
      </c>
      <c r="F20" s="5"/>
    </row>
    <row r="21" customFormat="false" ht="23.85" hidden="false" customHeight="false" outlineLevel="0" collapsed="false">
      <c r="A21" s="5" t="s">
        <v>467</v>
      </c>
      <c r="B21" s="5" t="s">
        <v>458</v>
      </c>
      <c r="C21" s="5" t="s">
        <v>468</v>
      </c>
      <c r="D21" s="5" t="s">
        <v>303</v>
      </c>
      <c r="E21" s="8" t="s">
        <v>436</v>
      </c>
      <c r="F21" s="5"/>
    </row>
    <row r="22" customFormat="false" ht="23.85" hidden="false" customHeight="false" outlineLevel="0" collapsed="false">
      <c r="A22" s="5" t="s">
        <v>469</v>
      </c>
      <c r="B22" s="5" t="s">
        <v>458</v>
      </c>
      <c r="C22" s="5" t="s">
        <v>470</v>
      </c>
      <c r="D22" s="5" t="s">
        <v>303</v>
      </c>
      <c r="E22" s="15" t="s">
        <v>417</v>
      </c>
      <c r="F22" s="5" t="s">
        <v>471</v>
      </c>
    </row>
    <row r="23" customFormat="false" ht="23.85" hidden="false" customHeight="false" outlineLevel="0" collapsed="false">
      <c r="A23" s="5" t="s">
        <v>472</v>
      </c>
      <c r="B23" s="5" t="s">
        <v>458</v>
      </c>
      <c r="C23" s="5" t="s">
        <v>473</v>
      </c>
      <c r="D23" s="5" t="s">
        <v>303</v>
      </c>
      <c r="E23" s="8" t="s">
        <v>436</v>
      </c>
      <c r="F23" s="5"/>
    </row>
    <row r="24" customFormat="false" ht="23.85" hidden="false" customHeight="false" outlineLevel="0" collapsed="false">
      <c r="A24" s="5" t="s">
        <v>474</v>
      </c>
      <c r="B24" s="5" t="s">
        <v>458</v>
      </c>
      <c r="C24" s="5" t="s">
        <v>475</v>
      </c>
      <c r="D24" s="5" t="s">
        <v>303</v>
      </c>
      <c r="E24" s="8" t="s">
        <v>436</v>
      </c>
      <c r="F24" s="5"/>
    </row>
    <row r="25" customFormat="false" ht="23.85" hidden="false" customHeight="false" outlineLevel="0" collapsed="false">
      <c r="A25" s="5" t="s">
        <v>476</v>
      </c>
      <c r="B25" s="5" t="s">
        <v>458</v>
      </c>
      <c r="C25" s="5" t="s">
        <v>477</v>
      </c>
      <c r="D25" s="5" t="s">
        <v>228</v>
      </c>
      <c r="E25" s="8" t="s">
        <v>436</v>
      </c>
      <c r="F25" s="5"/>
    </row>
    <row r="26" customFormat="false" ht="23.85" hidden="false" customHeight="false" outlineLevel="0" collapsed="false">
      <c r="A26" s="5" t="s">
        <v>478</v>
      </c>
      <c r="B26" s="5" t="s">
        <v>458</v>
      </c>
      <c r="C26" s="5" t="s">
        <v>479</v>
      </c>
      <c r="D26" s="5" t="s">
        <v>265</v>
      </c>
      <c r="E26" s="15" t="s">
        <v>417</v>
      </c>
      <c r="F26" s="5" t="s">
        <v>480</v>
      </c>
    </row>
    <row r="27" customFormat="false" ht="23.85" hidden="false" customHeight="false" outlineLevel="0" collapsed="false">
      <c r="A27" s="5" t="s">
        <v>191</v>
      </c>
      <c r="B27" s="5" t="s">
        <v>481</v>
      </c>
      <c r="C27" s="5" t="s">
        <v>482</v>
      </c>
      <c r="D27" s="5" t="s">
        <v>483</v>
      </c>
      <c r="E27" s="8" t="s">
        <v>436</v>
      </c>
      <c r="F27" s="5" t="s">
        <v>484</v>
      </c>
    </row>
    <row r="28" customFormat="false" ht="23.85" hidden="false" customHeight="false" outlineLevel="0" collapsed="false">
      <c r="A28" s="5" t="s">
        <v>485</v>
      </c>
      <c r="B28" s="5" t="s">
        <v>481</v>
      </c>
      <c r="C28" s="5" t="s">
        <v>486</v>
      </c>
      <c r="D28" s="5" t="s">
        <v>265</v>
      </c>
      <c r="E28" s="8" t="s">
        <v>436</v>
      </c>
      <c r="F28" s="5"/>
    </row>
    <row r="29" customFormat="false" ht="23.85" hidden="false" customHeight="false" outlineLevel="0" collapsed="false">
      <c r="A29" s="5" t="s">
        <v>487</v>
      </c>
      <c r="B29" s="5" t="s">
        <v>481</v>
      </c>
      <c r="C29" s="5" t="s">
        <v>488</v>
      </c>
      <c r="D29" s="5" t="s">
        <v>303</v>
      </c>
      <c r="E29" s="8" t="s">
        <v>436</v>
      </c>
      <c r="F29" s="5"/>
    </row>
    <row r="30" customFormat="false" ht="23.85" hidden="false" customHeight="false" outlineLevel="0" collapsed="false">
      <c r="A30" s="5" t="s">
        <v>489</v>
      </c>
      <c r="B30" s="5" t="s">
        <v>481</v>
      </c>
      <c r="C30" s="5" t="s">
        <v>490</v>
      </c>
      <c r="D30" s="5" t="s">
        <v>491</v>
      </c>
      <c r="E30" s="8" t="s">
        <v>436</v>
      </c>
      <c r="F30" s="5"/>
    </row>
    <row r="31" customFormat="false" ht="15" hidden="false" customHeight="false" outlineLevel="0" collapsed="false">
      <c r="A31" s="5" t="s">
        <v>492</v>
      </c>
      <c r="B31" s="5" t="s">
        <v>481</v>
      </c>
      <c r="C31" s="5" t="s">
        <v>493</v>
      </c>
      <c r="D31" s="5" t="s">
        <v>491</v>
      </c>
      <c r="E31" s="8" t="s">
        <v>436</v>
      </c>
      <c r="F31" s="5"/>
    </row>
    <row r="32" customFormat="false" ht="23.85" hidden="false" customHeight="false" outlineLevel="0" collapsed="false">
      <c r="A32" s="5" t="s">
        <v>494</v>
      </c>
      <c r="B32" s="5" t="s">
        <v>481</v>
      </c>
      <c r="C32" s="5" t="s">
        <v>495</v>
      </c>
      <c r="D32" s="5" t="s">
        <v>228</v>
      </c>
      <c r="E32" s="8" t="s">
        <v>436</v>
      </c>
      <c r="F32" s="5"/>
    </row>
    <row r="33" customFormat="false" ht="23.85" hidden="false" customHeight="false" outlineLevel="0" collapsed="false">
      <c r="A33" s="5" t="s">
        <v>496</v>
      </c>
      <c r="B33" s="5" t="s">
        <v>481</v>
      </c>
      <c r="C33" s="5" t="s">
        <v>497</v>
      </c>
      <c r="D33" s="5" t="s">
        <v>228</v>
      </c>
      <c r="E33" s="8" t="s">
        <v>436</v>
      </c>
      <c r="F33" s="5"/>
    </row>
    <row r="34" customFormat="false" ht="23.85" hidden="false" customHeight="false" outlineLevel="0" collapsed="false">
      <c r="A34" s="5" t="s">
        <v>498</v>
      </c>
      <c r="B34" s="5" t="s">
        <v>481</v>
      </c>
      <c r="C34" s="5" t="s">
        <v>499</v>
      </c>
      <c r="D34" s="5" t="s">
        <v>228</v>
      </c>
      <c r="E34" s="8" t="s">
        <v>436</v>
      </c>
      <c r="F34" s="5"/>
    </row>
    <row r="35" customFormat="false" ht="23.85" hidden="false" customHeight="false" outlineLevel="0" collapsed="false">
      <c r="A35" s="5" t="s">
        <v>500</v>
      </c>
      <c r="B35" s="5" t="s">
        <v>481</v>
      </c>
      <c r="C35" s="5" t="s">
        <v>501</v>
      </c>
      <c r="D35" s="5" t="s">
        <v>312</v>
      </c>
      <c r="E35" s="8" t="s">
        <v>436</v>
      </c>
      <c r="F35" s="5"/>
    </row>
    <row r="36" customFormat="false" ht="15" hidden="false" customHeight="false" outlineLevel="0" collapsed="false">
      <c r="A36" s="5" t="s">
        <v>502</v>
      </c>
      <c r="B36" s="5" t="s">
        <v>481</v>
      </c>
      <c r="C36" s="5" t="s">
        <v>503</v>
      </c>
      <c r="D36" s="5" t="s">
        <v>312</v>
      </c>
      <c r="E36" s="8" t="s">
        <v>436</v>
      </c>
      <c r="F36" s="5"/>
    </row>
    <row r="37" customFormat="false" ht="23.85" hidden="false" customHeight="false" outlineLevel="0" collapsed="false">
      <c r="A37" s="5" t="s">
        <v>504</v>
      </c>
      <c r="B37" s="5" t="s">
        <v>481</v>
      </c>
      <c r="C37" s="5" t="s">
        <v>505</v>
      </c>
      <c r="D37" s="5" t="s">
        <v>312</v>
      </c>
      <c r="E37" s="8" t="s">
        <v>436</v>
      </c>
      <c r="F37" s="5"/>
    </row>
    <row r="38" customFormat="false" ht="23.85" hidden="false" customHeight="false" outlineLevel="0" collapsed="false">
      <c r="A38" s="5" t="s">
        <v>506</v>
      </c>
      <c r="B38" s="5" t="s">
        <v>481</v>
      </c>
      <c r="C38" s="5" t="s">
        <v>507</v>
      </c>
      <c r="D38" s="5" t="s">
        <v>255</v>
      </c>
      <c r="E38" s="8" t="s">
        <v>436</v>
      </c>
      <c r="F38" s="5"/>
    </row>
    <row r="39" customFormat="false" ht="23.85" hidden="false" customHeight="false" outlineLevel="0" collapsed="false">
      <c r="A39" s="5" t="s">
        <v>508</v>
      </c>
      <c r="B39" s="5" t="s">
        <v>481</v>
      </c>
      <c r="C39" s="5" t="s">
        <v>509</v>
      </c>
      <c r="D39" s="5" t="s">
        <v>255</v>
      </c>
      <c r="E39" s="8" t="s">
        <v>436</v>
      </c>
      <c r="F39" s="5"/>
    </row>
    <row r="40" customFormat="false" ht="23.85" hidden="false" customHeight="false" outlineLevel="0" collapsed="false">
      <c r="A40" s="5" t="s">
        <v>510</v>
      </c>
      <c r="B40" s="5" t="s">
        <v>481</v>
      </c>
      <c r="C40" s="5" t="s">
        <v>511</v>
      </c>
      <c r="D40" s="5" t="s">
        <v>255</v>
      </c>
      <c r="E40" s="8" t="s">
        <v>436</v>
      </c>
      <c r="F40" s="5"/>
    </row>
    <row r="41" customFormat="false" ht="23.85" hidden="false" customHeight="false" outlineLevel="0" collapsed="false">
      <c r="A41" s="5" t="s">
        <v>512</v>
      </c>
      <c r="B41" s="5" t="s">
        <v>513</v>
      </c>
      <c r="C41" s="5" t="s">
        <v>514</v>
      </c>
      <c r="D41" s="5" t="s">
        <v>89</v>
      </c>
      <c r="E41" s="8" t="s">
        <v>436</v>
      </c>
      <c r="F41" s="5"/>
    </row>
    <row r="42" customFormat="false" ht="23.85" hidden="false" customHeight="false" outlineLevel="0" collapsed="false">
      <c r="A42" s="5" t="s">
        <v>515</v>
      </c>
      <c r="B42" s="5" t="s">
        <v>513</v>
      </c>
      <c r="C42" s="5" t="s">
        <v>516</v>
      </c>
      <c r="D42" s="5" t="s">
        <v>89</v>
      </c>
      <c r="E42" s="8" t="s">
        <v>436</v>
      </c>
      <c r="F42" s="5"/>
    </row>
    <row r="43" customFormat="false" ht="15" hidden="false" customHeight="false" outlineLevel="0" collapsed="false">
      <c r="A43" s="5" t="s">
        <v>517</v>
      </c>
      <c r="B43" s="5" t="s">
        <v>513</v>
      </c>
      <c r="C43" s="5" t="s">
        <v>518</v>
      </c>
      <c r="D43" s="5" t="s">
        <v>89</v>
      </c>
      <c r="E43" s="8" t="s">
        <v>436</v>
      </c>
      <c r="F43" s="5"/>
    </row>
    <row r="44" customFormat="false" ht="15" hidden="false" customHeight="false" outlineLevel="0" collapsed="false">
      <c r="A44" s="5" t="s">
        <v>519</v>
      </c>
      <c r="B44" s="5" t="s">
        <v>513</v>
      </c>
      <c r="C44" s="5" t="s">
        <v>520</v>
      </c>
      <c r="D44" s="5" t="s">
        <v>89</v>
      </c>
      <c r="E44" s="8" t="s">
        <v>436</v>
      </c>
      <c r="F44" s="5"/>
    </row>
    <row r="45" customFormat="false" ht="23.85" hidden="false" customHeight="false" outlineLevel="0" collapsed="false">
      <c r="A45" s="5" t="s">
        <v>521</v>
      </c>
      <c r="B45" s="5" t="s">
        <v>513</v>
      </c>
      <c r="C45" s="5" t="s">
        <v>522</v>
      </c>
      <c r="D45" s="5" t="s">
        <v>77</v>
      </c>
      <c r="E45" s="8" t="s">
        <v>436</v>
      </c>
      <c r="F45" s="5"/>
    </row>
    <row r="46" customFormat="false" ht="23.85" hidden="false" customHeight="false" outlineLevel="0" collapsed="false">
      <c r="A46" s="5" t="s">
        <v>523</v>
      </c>
      <c r="B46" s="5" t="s">
        <v>513</v>
      </c>
      <c r="C46" s="5" t="s">
        <v>524</v>
      </c>
      <c r="D46" s="5" t="s">
        <v>77</v>
      </c>
      <c r="E46" s="6" t="s">
        <v>525</v>
      </c>
      <c r="F46" s="5" t="s">
        <v>526</v>
      </c>
    </row>
    <row r="47" customFormat="false" ht="23.85" hidden="false" customHeight="false" outlineLevel="0" collapsed="false">
      <c r="A47" s="5" t="s">
        <v>182</v>
      </c>
      <c r="B47" s="5" t="s">
        <v>513</v>
      </c>
      <c r="C47" s="5" t="s">
        <v>527</v>
      </c>
      <c r="D47" s="5" t="s">
        <v>173</v>
      </c>
      <c r="E47" s="9" t="s">
        <v>444</v>
      </c>
      <c r="F47" s="5"/>
    </row>
    <row r="48" customFormat="false" ht="23.85" hidden="false" customHeight="false" outlineLevel="0" collapsed="false">
      <c r="A48" s="5" t="s">
        <v>528</v>
      </c>
      <c r="B48" s="5" t="s">
        <v>529</v>
      </c>
      <c r="C48" s="5" t="s">
        <v>530</v>
      </c>
      <c r="D48" s="5" t="s">
        <v>329</v>
      </c>
      <c r="E48" s="8" t="s">
        <v>436</v>
      </c>
      <c r="F48" s="5"/>
    </row>
    <row r="49" customFormat="false" ht="23.85" hidden="false" customHeight="false" outlineLevel="0" collapsed="false">
      <c r="A49" s="5" t="s">
        <v>531</v>
      </c>
      <c r="B49" s="5" t="s">
        <v>529</v>
      </c>
      <c r="C49" s="5" t="s">
        <v>532</v>
      </c>
      <c r="D49" s="5" t="s">
        <v>329</v>
      </c>
      <c r="E49" s="8" t="s">
        <v>436</v>
      </c>
      <c r="F49" s="5"/>
    </row>
    <row r="50" customFormat="false" ht="15" hidden="false" customHeight="false" outlineLevel="0" collapsed="false">
      <c r="A50" s="5" t="s">
        <v>533</v>
      </c>
      <c r="B50" s="5" t="s">
        <v>529</v>
      </c>
      <c r="C50" s="5" t="s">
        <v>534</v>
      </c>
      <c r="D50" s="5" t="s">
        <v>329</v>
      </c>
      <c r="E50" s="8" t="s">
        <v>436</v>
      </c>
      <c r="F50" s="5"/>
    </row>
    <row r="51" customFormat="false" ht="15" hidden="false" customHeight="false" outlineLevel="0" collapsed="false">
      <c r="A51" s="5" t="s">
        <v>535</v>
      </c>
      <c r="B51" s="5" t="s">
        <v>529</v>
      </c>
      <c r="C51" s="5" t="s">
        <v>536</v>
      </c>
      <c r="D51" s="5" t="s">
        <v>329</v>
      </c>
      <c r="E51" s="8" t="s">
        <v>436</v>
      </c>
      <c r="F51" s="5"/>
    </row>
    <row r="52" customFormat="false" ht="23.85" hidden="false" customHeight="false" outlineLevel="0" collapsed="false">
      <c r="A52" s="5" t="s">
        <v>537</v>
      </c>
      <c r="B52" s="5" t="s">
        <v>529</v>
      </c>
      <c r="C52" s="5" t="s">
        <v>538</v>
      </c>
      <c r="D52" s="5" t="s">
        <v>329</v>
      </c>
      <c r="E52" s="15" t="s">
        <v>417</v>
      </c>
      <c r="F52" s="5" t="s">
        <v>539</v>
      </c>
    </row>
    <row r="54" customFormat="false" ht="15" hidden="false" customHeight="false" outlineLevel="0" collapsed="false">
      <c r="A54" s="10" t="s">
        <v>399</v>
      </c>
      <c r="B54" s="10" t="s">
        <v>388</v>
      </c>
    </row>
    <row r="55" customFormat="false" ht="15" hidden="false" customHeight="false" outlineLevel="0" collapsed="false">
      <c r="A55" s="11" t="s">
        <v>436</v>
      </c>
      <c r="B55" s="11" t="n">
        <f aca="false">COUNTIF($E$5:$E$52,"Covered")</f>
        <v>37</v>
      </c>
    </row>
    <row r="56" customFormat="false" ht="15" hidden="false" customHeight="false" outlineLevel="0" collapsed="false">
      <c r="A56" s="11" t="s">
        <v>525</v>
      </c>
      <c r="B56" s="11" t="n">
        <f aca="false">COUNTIF($E$5:$E$52,"Extended")</f>
        <v>1</v>
      </c>
    </row>
    <row r="57" customFormat="false" ht="15" hidden="false" customHeight="false" outlineLevel="0" collapsed="false">
      <c r="A57" s="11" t="s">
        <v>444</v>
      </c>
      <c r="B57" s="11" t="n">
        <f aca="false">COUNTIF($E$5:$E$52,"Added")</f>
        <v>7</v>
      </c>
    </row>
    <row r="58" customFormat="false" ht="15" hidden="false" customHeight="false" outlineLevel="0" collapsed="false">
      <c r="A58" s="11" t="s">
        <v>417</v>
      </c>
      <c r="B58" s="11" t="n">
        <f aca="false">COUNTIF($E$5:$E$52,"Partial")</f>
        <v>3</v>
      </c>
    </row>
    <row r="59" customFormat="false" ht="15" hidden="false" customHeight="false" outlineLevel="0" collapsed="false">
      <c r="A59" s="10" t="s">
        <v>389</v>
      </c>
      <c r="B59" s="10" t="n">
        <f aca="false">SUM(B55:B58)</f>
        <v>48</v>
      </c>
    </row>
  </sheetData>
  <autoFilter ref="A4:F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2026-09-30T10:04:42Z</dcterms:created>
  <dc:creator>openpyxl</dc:creator>
  <dc:description/>
  <dc:language>en-US</dc:language>
  <cp:lastModifiedBy/>
  <dcterms:modified xsi:type="dcterms:W3CDTF">2026-09-30T10:04:42Z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