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Cases" sheetId="1" state="visible" r:id="rId3"/>
    <sheet name="Summary" sheetId="2" state="visible" r:id="rId4"/>
    <sheet name="Client Mapping" sheetId="3" state="visible" r:id="rId5"/>
  </sheets>
  <definedNames>
    <definedName function="false" hidden="true" localSheetId="2" name="_xlnm._FilterDatabase" vbProcedure="false">'Client Mapping'!$A$4:$F$52</definedName>
    <definedName function="false" hidden="true" localSheetId="0" name="_xlnm._FilterDatabase" vbProcedure="false">'Test Cases'!$A$5:$Q$41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<sst xmlns="http://schemas.openxmlformats.org/spreadsheetml/2006/main" count="900" uniqueCount="448">
  <si>
    <t xml:space="preserve">Dummy Resources (PSD v2) — Test Cases</t>
  </si>
  <si>
    <t xml:space="preserve">Source: resources/product-specifications-document/AgriERP FSCM - Dummy Resources v2.pdf. Plan: playwright/test-plans/authenticated/dummy-resources.md. Updated 2026-09-30: v2 released on QA, web cases re-verified live (FINDINGS #47–#49); cross-checked against client sheet AgriERP_Dummy_Resource_Test_Cases.xlsx.</t>
  </si>
  <si>
    <t xml:space="preserve">Legend: Change — green = New, yellow = Updated (PSD revision 2026-09-29), white = Existing. Fill in the Result column (Pass / Fail / Blocked / Not Run) when executing. Web results pre-filled from the 2026-09-30 automated run on QA.</t>
  </si>
  <si>
    <t xml:space="preserve">ID</t>
  </si>
  <si>
    <t xml:space="preserve">Title</t>
  </si>
  <si>
    <t xml:space="preserve">Change</t>
  </si>
  <si>
    <t xml:space="preserve">Section</t>
  </si>
  <si>
    <t xml:space="preserve">Role</t>
  </si>
  <si>
    <t xml:space="preserve">Platform</t>
  </si>
  <si>
    <t xml:space="preserve">Priority</t>
  </si>
  <si>
    <t xml:space="preserve">Type</t>
  </si>
  <si>
    <t xml:space="preserve">Preconditions</t>
  </si>
  <si>
    <t xml:space="preserve">Steps</t>
  </si>
  <si>
    <t xml:space="preserve">Test data</t>
  </si>
  <si>
    <t xml:space="preserve">Expected result</t>
  </si>
  <si>
    <t xml:space="preserve">PSD reference</t>
  </si>
  <si>
    <t xml:space="preserve">Automation</t>
  </si>
  <si>
    <t xml:space="preserve">Notes</t>
  </si>
  <si>
    <t xml:space="preserve">Client TC IDs</t>
  </si>
  <si>
    <t xml:space="preserve">Result</t>
  </si>
  <si>
    <t xml:space="preserve">DR-01</t>
  </si>
  <si>
    <t xml:space="preserve">A dummy resource on the WO form takes a No Of Resource headcount</t>
  </si>
  <si>
    <t xml:space="preserve">Existing</t>
  </si>
  <si>
    <t xml:space="preserve">Selecting dummy resources</t>
  </si>
  <si>
    <t xml:space="preserve">Admin / Manager</t>
  </si>
  <si>
    <t xml:space="preserve">Web</t>
  </si>
  <si>
    <t xml:space="preserve">P1</t>
  </si>
  <si>
    <t xml:space="preserve">Functional / Smoke</t>
  </si>
  <si>
    <t xml:space="preserve">Logged in to the Farm Web App as Admin / Manager (VBS tenant, QA env). Work Orders → Create New Work Order (Planned) is open with Farm, Operation and Plot set — Add Resources stays inert until all three are set.</t>
  </si>
  <si>
    <t xml:space="preserve">1. Click Add Resources (v2: '+' → Add Dummy Resource; v1 on QA: Select Resources → Dummy Resource switch = Yes).
2. Tick a dummy resource and confirm.
3. Look at the resource row on the form.</t>
  </si>
  <si>
    <t xml:space="preserve">Machine Operator (DM001)</t>
  </si>
  <si>
    <t xml:space="preserve">The row is added under Select Resources with an editable number input under No Of Resource.</t>
  </si>
  <si>
    <t xml:space="preserve">AgriERP FSCM - Dummy Resources v2.pdf — Solution Overview; Data Dictionary – No. of Resources</t>
  </si>
  <si>
    <t xml:space="preserve">❌ Expected failure — FINDINGS #47 (no headcount input on web)</t>
  </si>
  <si>
    <t xml:space="preserve">—</t>
  </si>
  <si>
    <t xml:space="preserve">Fail</t>
  </si>
  <si>
    <t xml:space="preserve">DR-02</t>
  </si>
  <si>
    <t xml:space="preserve">Select Resources '+' offers Add Resource and Add Dummy Resource</t>
  </si>
  <si>
    <t xml:space="preserve">P2</t>
  </si>
  <si>
    <t xml:space="preserve">Functional</t>
  </si>
  <si>
    <t xml:space="preserve">1. On the Select Resources header, click the '+' icon.</t>
  </si>
  <si>
    <t xml:space="preserve">A dropdown opens with exactly two items: Add Resource and Add Dummy Resource (standard AgriERP menu style).</t>
  </si>
  <si>
    <t xml:space="preserve">AgriERP FSCM - Dummy Resources v2.pdf — Mocks, Figure 1 (p.7)</t>
  </si>
  <si>
    <t xml:space="preserve">✅ Automated</t>
  </si>
  <si>
    <t xml:space="preserve">QA still serves v1 (FINDINGS #34).</t>
  </si>
  <si>
    <t xml:space="preserve">WEB-001</t>
  </si>
  <si>
    <t xml:space="preserve">Pass</t>
  </si>
  <si>
    <t xml:space="preserve">DR-03</t>
  </si>
  <si>
    <t xml:space="preserve">Add Dummy Resource opens the dummy register</t>
  </si>
  <si>
    <t xml:space="preserve">1. Click '+' → Add Dummy Resource.
2. Inspect the panel heading, filters and rows.</t>
  </si>
  <si>
    <t xml:space="preserve">Panel heading reads Dummy Resource; Resource Group, Search By Resource Name and Search By Company Name filters present; no Dummy Resource Yes/No toggle; only the dummy register is listed (8 rows, e.g. Irrigator (DM002)).</t>
  </si>
  <si>
    <t xml:space="preserve">AgriERP FSCM - Dummy Resources v2.pdf — Figure 2 (p.8); Supervisor journey steps 4–5</t>
  </si>
  <si>
    <t xml:space="preserve">WEB-002, WEB-003, WEB-010</t>
  </si>
  <si>
    <t xml:space="preserve">DR-04</t>
  </si>
  <si>
    <t xml:space="preserve">Add Resource lists named resources only</t>
  </si>
  <si>
    <t xml:space="preserve">Functional / Negative</t>
  </si>
  <si>
    <t xml:space="preserve">1. Click '+' → Add Resource.
2. Inspect the rows and filters.</t>
  </si>
  <si>
    <t xml:space="preserve">No Dummy Resource toggle; no row carries the Dummy Resource chip.</t>
  </si>
  <si>
    <t xml:space="preserve">AgriERP FSCM - Dummy Resources v2.pdf — Solution Overview (register chosen before the page opens)</t>
  </si>
  <si>
    <t xml:space="preserve">WEB-003, WEB-009, WEB-010</t>
  </si>
  <si>
    <t xml:space="preserve">DR-05</t>
  </si>
  <si>
    <t xml:space="preserve">Dummy resource row on the form shows the yellow chip</t>
  </si>
  <si>
    <t xml:space="preserve">P3</t>
  </si>
  <si>
    <t xml:space="preserve">UI</t>
  </si>
  <si>
    <t xml:space="preserve">Logged in to the Farm Web App as Admin / Manager (VBS tenant, QA env). Work Orders → Create New Work Order (Planned) is open with Farm, Operation and Plot set — Add Resources stays inert until all three are set. A dummy resource has been added to the WO.</t>
  </si>
  <si>
    <t xml:space="preserve">1. Look at the dummy resource row under Select Resources.</t>
  </si>
  <si>
    <t xml:space="preserve">Row shows the yellow DUMMY RESOURCE badge (title Dummy Resource) beside the name.</t>
  </si>
  <si>
    <t xml:space="preserve">AgriERP FSCM - Dummy Resources v2.pdf — Figure 1 (p.7)</t>
  </si>
  <si>
    <t xml:space="preserve">WEB-008</t>
  </si>
  <si>
    <t xml:space="preserve">DR-06</t>
  </si>
  <si>
    <t xml:space="preserve">No. of Resources empty or 0 blocks saving</t>
  </si>
  <si>
    <t xml:space="preserve">Validation</t>
  </si>
  <si>
    <t xml:space="preserve">Negative</t>
  </si>
  <si>
    <t xml:space="preserve">1. Leave No Of Resource empty and try Submit → Save.
2. Enter 0 and try again.</t>
  </si>
  <si>
    <t xml:space="preserve">No Of Resource: empty, then 0</t>
  </si>
  <si>
    <t xml:space="preserve">Submit is disabled or saving is refused; no 'Saved Successfully' toast.</t>
  </si>
  <si>
    <t xml:space="preserve">AgriERP FSCM - Dummy Resources v2.pdf — Validation Rules → Mandatory Fields</t>
  </si>
  <si>
    <t xml:space="preserve">Automated, @mutating — parked (test.fixme), blocked by FINDINGS #47</t>
  </si>
  <si>
    <t xml:space="preserve">PSD gives no exact error text; tighten once seen.</t>
  </si>
  <si>
    <t xml:space="preserve">VAL-001</t>
  </si>
  <si>
    <t xml:space="preserve">Blocked</t>
  </si>
  <si>
    <t xml:space="preserve">DR-07</t>
  </si>
  <si>
    <t xml:space="preserve">Dummy resource hours show on web: resource list, Spent Hours, WO logs, Hour Log Adjustment</t>
  </si>
  <si>
    <t xml:space="preserve">Updated</t>
  </si>
  <si>
    <t xml:space="preserve">Hours &amp; integration</t>
  </si>
  <si>
    <t xml:space="preserve">Functional / Integration</t>
  </si>
  <si>
    <t xml:space="preserve">Logged in to the Farm Web App as Admin / Manager. An In Progress WO has at least one dummy resource shift logged on mobile.</t>
  </si>
  <si>
    <t xml:space="preserve">1. Work Orders → In Progress chip → open the WO (eye icon).
2. Check the Resources list.
3. Open Spent Hours.
4. Open the work order logs.
5. Open Hour Log Adjustment for the resource.</t>
  </si>
  <si>
    <t xml:space="preserve">WO from `pnpm seed:hourlog`</t>
  </si>
  <si>
    <t xml:space="preserve">Dummy resource hours appear on the resource list, Spent Hours, the work order logs and Hour Log Adjustment, with headcount and standard hours, plus source (Web/Mobile), device and user.</t>
  </si>
  <si>
    <t xml:space="preserve">AgriERP FSCM - Dummy Resources v2.pdf — Dummy Resource Management (p.6); Integration with Hour Log Adjustment (p.23)</t>
  </si>
  <si>
    <t xml:space="preserve">Manual (needs a mobile shift); automatable afterwards</t>
  </si>
  <si>
    <t xml:space="preserve">2026-09-30: work order logs added (client INT-006).</t>
  </si>
  <si>
    <t xml:space="preserve">INT-005, INT-006</t>
  </si>
  <si>
    <t xml:space="preserve">Not Run</t>
  </si>
  <si>
    <t xml:space="preserve">DR-08</t>
  </si>
  <si>
    <t xml:space="preserve">Dummy + machine hours post to the WO's ERP project</t>
  </si>
  <si>
    <t xml:space="preserve">Web / D365</t>
  </si>
  <si>
    <t xml:space="preserve">Integration</t>
  </si>
  <si>
    <t xml:space="preserve">A WO with logged dummy resource shifts, linked to an ERP project; a second WO whose plot has no ERP project link.</t>
  </si>
  <si>
    <t xml:space="preserve">1. Post the hours from the linked WO and check the project in D365.
2. Try to post from the unlinked WO.
3. Correct a shift before WO completion; check re-post.
4. Complete the WO and try to edit the hours.</t>
  </si>
  <si>
    <t xml:space="preserve">Resource and machine/implement hours post to the WO's ERP project; posting is restricted without a project link; corrections before completion are re-posted; after completion hours are read-only.</t>
  </si>
  <si>
    <t xml:space="preserve">AgriERP FSCM - Dummy Resources v2.pdf — Integration with ERP (p.23)</t>
  </si>
  <si>
    <t xml:space="preserve">Manual (D365)</t>
  </si>
  <si>
    <t xml:space="preserve">INT-001, INT-002, INT-003, INT-004</t>
  </si>
  <si>
    <t xml:space="preserve">DR-09</t>
  </si>
  <si>
    <t xml:space="preserve">Named resource on a running job cannot be re-selected; dummy never blocked</t>
  </si>
  <si>
    <t xml:space="preserve">Resource availability</t>
  </si>
  <si>
    <t xml:space="preserve">Logged in to the Farm Web App as Admin / Manager. A named resource is working on a running job (not paused/stopped).</t>
  </si>
  <si>
    <t xml:space="preserve">1. On another WO, open Add Resource and try to select the busy named resource.
2. Open Add Dummy Resource and select a dummy resource already on a running job.</t>
  </si>
  <si>
    <t xml:space="preserve">Named resource on a running job; any dummy resource</t>
  </si>
  <si>
    <t xml:space="preserve">The named resource cannot be selected until its job is paused or stopped; the dummy resource is selectable.</t>
  </si>
  <si>
    <t xml:space="preserve">AgriERP FSCM - Dummy Resources v2.pdf — Dummy Resource Management (p.6)</t>
  </si>
  <si>
    <t xml:space="preserve">Manual; web half automatable once a running job can be seeded</t>
  </si>
  <si>
    <t xml:space="preserve">VAL-004, VAL-005</t>
  </si>
  <si>
    <t xml:space="preserve">DR-10</t>
  </si>
  <si>
    <t xml:space="preserve">In Progress WO on web stays In Progress and shows hours from every resumed shift</t>
  </si>
  <si>
    <t xml:space="preserve">New</t>
  </si>
  <si>
    <t xml:space="preserve">Resume Job &amp; shifts</t>
  </si>
  <si>
    <t xml:space="preserve">Functional / Regression</t>
  </si>
  <si>
    <t xml:space="preserve">Logged in to the Farm Web App as Admin / Manager (VBS tenant, QA env). The In Progress WO from DRM-10 has Shift 1 and Shift 2 logged on mobile via Resume Job.</t>
  </si>
  <si>
    <t xml:space="preserve">1. Open Work Orders and click the In Progress status chip.
2. Find the WO and click the eye icon (View).
3. Open the Resources section and read the dummy resource rows.
4. Open Spent Hours for the plot.</t>
  </si>
  <si>
    <t xml:space="preserve">WO from `pnpm seed:hourlog`; Shift 1: 2 res × 2 h; Shift 2: 1 res × 2 h</t>
  </si>
  <si>
    <t xml:space="preserve">The WO is listed under In Progress (not To Do or Queue). The resource list and Spent Hours show the hours of both shifts (4 h + 2 h = 6 h resource hours), with headcount and source Mobile.</t>
  </si>
  <si>
    <t xml:space="preserve">AgriERP FSCM - Dummy Resources v2.pdf — Important Point – Resume Job and Shifts (p.22); Dummy Resource Management (p.6)</t>
  </si>
  <si>
    <t xml:space="preserve">Manual; automatable later against a seeded WO (read-only)</t>
  </si>
  <si>
    <t xml:space="preserve">Derived: plot remains In Progress once started + shift hours are additive + hours visible on web.</t>
  </si>
  <si>
    <t xml:space="preserve">DR-11</t>
  </si>
  <si>
    <t xml:space="preserve">Resource Group filter narrows the Add Dummy Resource list</t>
  </si>
  <si>
    <t xml:space="preserve">Logged in to the Farm Web App as Admin / Manager (VBS tenant, QA env). Work Orders → Create New Work Order (Planned) is open with Farm, Operation and Plot set — Add Resources stays inert until all three are set. (v2 build, where the Select Resources "+" menu is deployed).</t>
  </si>
  <si>
    <t xml:space="preserve">1. Click '+' → Add Dummy Resource.
2. Open the Resource Group dropdown (default All) and pick a group.
3. Click Apply.
4. Repeat on '+' → Add Resource.</t>
  </si>
  <si>
    <t xml:space="preserve">Resource Group: Machine Operators</t>
  </si>
  <si>
    <t xml:space="preserve">Only resources of the chosen group remain; the filter behaves the same on Add Resource.</t>
  </si>
  <si>
    <t xml:space="preserve">AgriERP FSCM - Dummy Resources v2.pdf — Figure 2 (p.8) — filters work the same way in both modes</t>
  </si>
  <si>
    <t xml:space="preserve">Manual — blocked by data (Resource Group offers only All)</t>
  </si>
  <si>
    <t xml:space="preserve">WEB-004</t>
  </si>
  <si>
    <t xml:space="preserve">DR-12</t>
  </si>
  <si>
    <t xml:space="preserve">Search By Resource Name filters the dummy list</t>
  </si>
  <si>
    <t xml:space="preserve">1. Click '+' → Add Dummy Resource.
2. Type in Search By Resource Name.
3. Click Apply.</t>
  </si>
  <si>
    <t xml:space="preserve">"Irrigator"</t>
  </si>
  <si>
    <t xml:space="preserve">Only matching dummy resources remain (e.g. Irrigator (DM002), Irrigator 02 (DM003)).</t>
  </si>
  <si>
    <t xml:space="preserve">AgriERP FSCM - Dummy Resources v2.pdf — Figure 2 (p.8)</t>
  </si>
  <si>
    <t xml:space="preserve">WEB-005</t>
  </si>
  <si>
    <t xml:space="preserve">DR-13</t>
  </si>
  <si>
    <t xml:space="preserve">Search By Company Name filters the dummy list</t>
  </si>
  <si>
    <t xml:space="preserve">1. Click '+' → Add Dummy Resource.
2. Type a company in Search By Company Name.
3. Click Apply.</t>
  </si>
  <si>
    <t xml:space="preserve">A company name shown in the Company column</t>
  </si>
  <si>
    <t xml:space="preserve">Only dummy resources tied to that company remain.</t>
  </si>
  <si>
    <t xml:space="preserve">Manual — blocked by data (dummy resources have no Company Name)</t>
  </si>
  <si>
    <t xml:space="preserve">WEB-006</t>
  </si>
  <si>
    <t xml:space="preserve">DR-14</t>
  </si>
  <si>
    <t xml:space="preserve">Reset clears the applied filters</t>
  </si>
  <si>
    <t xml:space="preserve">1. Click '+' → Add Dummy Resource.
2. Apply Resource Group, Resource Name and Company Name filters.
3. Click Reset.</t>
  </si>
  <si>
    <t xml:space="preserve">Any filter values</t>
  </si>
  <si>
    <t xml:space="preserve">All filters clear, Resource Group returns to All, and the full dummy register is listed again.</t>
  </si>
  <si>
    <t xml:space="preserve">❌ Expected failure — FINDINGS #48 (Reset switches to the named register)</t>
  </si>
  <si>
    <t xml:space="preserve">Reset is from the Select Resources modal (knowledge base); the PSD text names only the three filters.</t>
  </si>
  <si>
    <t xml:space="preserve">WEB-007</t>
  </si>
  <si>
    <t xml:space="preserve">DR-15</t>
  </si>
  <si>
    <t xml:space="preserve">Several dummy resources selected in one pass are all added</t>
  </si>
  <si>
    <t xml:space="preserve">1. Open the dummy register (v2: '+' → Add Dummy Resource; v1: Dummy Resource switch = Yes).
2. Tick two dummy resources.
3. Click Save.</t>
  </si>
  <si>
    <t xml:space="preserve">Irrigator (DM002), Irrigator 02 (DM003)</t>
  </si>
  <si>
    <t xml:space="preserve">Both are added under Select Resources, each with its own No Of Resource input (and, on v2, the Dummy Resource chip).</t>
  </si>
  <si>
    <t xml:space="preserve">AgriERP FSCM - Dummy Resources v2.pdf — Figures 1–2 (p.7–8); Business Cases — added from the web during planning</t>
  </si>
  <si>
    <t xml:space="preserve">✅ Automated (read-only)</t>
  </si>
  <si>
    <t xml:space="preserve">WEB-011</t>
  </si>
  <si>
    <t xml:space="preserve">DR-16</t>
  </si>
  <si>
    <t xml:space="preserve">Dummy resources are flagged master data in Resource Management</t>
  </si>
  <si>
    <t xml:space="preserve">Logged in to the Farm Web App as Admin / Manager with access to Settings → Resources.</t>
  </si>
  <si>
    <t xml:space="preserve">1. Open Settings → Resources.
2. Find a dummy resource (e.g. Irrigator (DM002)).
3. Open it and check its dummy flag.
4. Confirm it can be picked on a WO (DR-01).</t>
  </si>
  <si>
    <t xml:space="preserve">Irrigator (DM002)</t>
  </si>
  <si>
    <t xml:space="preserve">The record is stored as master data and flagged as dummy; it is selectable onto a WO like a named resource.</t>
  </si>
  <si>
    <t xml:space="preserve">Manual</t>
  </si>
  <si>
    <t xml:space="preserve">Screen and flag label unverified on QA; confirm the exact wording on first run.</t>
  </si>
  <si>
    <t xml:space="preserve">WEB-012</t>
  </si>
  <si>
    <t xml:space="preserve">DR-17</t>
  </si>
  <si>
    <t xml:space="preserve">Dummy resource hours adjustable from Spent Hours until the WO is completed</t>
  </si>
  <si>
    <t xml:space="preserve">Logged in to the Farm Web App as Admin / Manager. An In Progress WO (`pnpm seed:hourlog`) has a dummy resource shift logged on mobile.</t>
  </si>
  <si>
    <t xml:space="preserve">1. Work Orders → In Progress chip → open the WO.
2. In the Resources table, click the dummy resource's Hours Logged link to open Spent Hours.
3. Adjust the hours and save.
4. Re-read Spent Hours.</t>
  </si>
  <si>
    <t xml:space="preserve">Shift of 2 res × 2 h (4 h) adjusted to 3 h</t>
  </si>
  <si>
    <t xml:space="preserve">The adjustment is saved and Spent Hours shows the new value while the WO is not completed. (After completion hours are read-only — DR-08.)</t>
  </si>
  <si>
    <t xml:space="preserve">AgriERP FSCM - Dummy Resources v2.pdf — Solution Overview (p.6); Persona – Farm Operations Manager</t>
  </si>
  <si>
    <t xml:space="preserve">Manual (needs a mobile shift)</t>
  </si>
  <si>
    <t xml:space="preserve">Keep the WO forward-only.</t>
  </si>
  <si>
    <t xml:space="preserve">INT-007</t>
  </si>
  <si>
    <t xml:space="preserve">DR-18</t>
  </si>
  <si>
    <t xml:space="preserve">A dummy resource saves without any machine or implement</t>
  </si>
  <si>
    <t xml:space="preserve">Functional / Positive</t>
  </si>
  <si>
    <t xml:space="preserve">1. Add a dummy resource (DR-01) and enter No Of Resource = 2.
2. Add no asset.
3. Submit → Save.</t>
  </si>
  <si>
    <t xml:space="preserve">Machine Operator (DM001); No Of Resource 2; no asset</t>
  </si>
  <si>
    <t xml:space="preserve">The WO saves ("Work Order WO-XXXXX | &lt;name&gt; Saved Successfully"); no asset is required.</t>
  </si>
  <si>
    <t xml:space="preserve">AgriERP FSCM - Dummy Resources v2.pdf — Validation Rules → Mandatory Fields (p.26) — machine and implement attachment is optional</t>
  </si>
  <si>
    <t xml:space="preserve">Manual — blocked by FINDINGS #47</t>
  </si>
  <si>
    <t xml:space="preserve">Positive counterpart of DR-06.</t>
  </si>
  <si>
    <t xml:space="preserve">DR-19</t>
  </si>
  <si>
    <t xml:space="preserve">Select Resources shows the dummy resource headcount notice</t>
  </si>
  <si>
    <t xml:space="preserve">1. Look under the Select Resources grid.</t>
  </si>
  <si>
    <t xml:space="preserve">The notice "Dummy resources stand in for unnamed labour and carry a headcount instead of a person…" is shown.</t>
  </si>
  <si>
    <t xml:space="preserve">❌ Expected failure — FINDINGS #49 (notice not rendered)</t>
  </si>
  <si>
    <t xml:space="preserve">Split out of DR-05 on 2026-09-30.</t>
  </si>
  <si>
    <t xml:space="preserve">DRM-01</t>
  </si>
  <si>
    <t xml:space="preserve">Plot card swipe menus</t>
  </si>
  <si>
    <t xml:space="preserve">Setting up the job</t>
  </si>
  <si>
    <t xml:space="preserve">Supervisor / Machine Operator</t>
  </si>
  <si>
    <t xml:space="preserve">Mobile</t>
  </si>
  <si>
    <t xml:space="preserve">Logged in to the Farm Mobile App as a Supervisor or Machine Operator (VBS tenant, QA env). A Planned WO with at least one plot is assigned to the user; the operation has a dummy resource register.</t>
  </si>
  <si>
    <t xml:space="preserve">1. Open the WO on the Work Order Detail screen.
2. Swipe a plot card right.
3. Swipe the same card left.
4. Repeat on a plot that already has a shift.</t>
  </si>
  <si>
    <t xml:space="preserve">Swipe right: Add / Update Dummy Resource, Add Resources. Swipe left: Start Job, Edit, Resume, Pause. Available on every plot, whether or not a shift has run.</t>
  </si>
  <si>
    <t xml:space="preserve">AgriERP FSCM - Dummy Resources v2.pdf — Figures 3–4 (p.9–10)</t>
  </si>
  <si>
    <t xml:space="preserve">Manual (Farm Mobile App)</t>
  </si>
  <si>
    <t xml:space="preserve">DRM-02</t>
  </si>
  <si>
    <t xml:space="preserve">Dummy Resources empty state</t>
  </si>
  <si>
    <t xml:space="preserve">Logged in to the Farm Mobile App as a Supervisor or Machine Operator (VBS tenant, QA env). A Planned WO with at least one plot is assigned to the user; the operation has a dummy resource register. The plot has no dummy resource logs.</t>
  </si>
  <si>
    <t xml:space="preserve">1. Swipe the plot card right → Add / Update Dummy Resource.</t>
  </si>
  <si>
    <t xml:space="preserve">"No dummy resource logs on this plot yet — tap + to add one."; Total Hours Logged: 0h; Resource 0h + Machine / Implement 0h.</t>
  </si>
  <si>
    <t xml:space="preserve">AgriERP FSCM - Dummy Resources v2.pdf — Figure 5 (p.11)</t>
  </si>
  <si>
    <t xml:space="preserve">DRM-03</t>
  </si>
  <si>
    <t xml:space="preserve">Add Dummy Resource lists the dummy register only; multi-select</t>
  </si>
  <si>
    <t xml:space="preserve">1. Swipe right → Add / Update Dummy Resource → '+'.
2. Check the list for named app users.
3. Tick two dummy resources.</t>
  </si>
  <si>
    <t xml:space="preserve">Machine Operator (DM001), Irrigator (DM002)</t>
  </si>
  <si>
    <t xml:space="preserve">Only the operation's dummy resources are listed (no named users); more than one can be ticked; Done becomes active once a row is ticked.</t>
  </si>
  <si>
    <t xml:space="preserve">AgriERP FSCM - Dummy Resources v2.pdf — Figures 7–8 (p.13–14)</t>
  </si>
  <si>
    <t xml:space="preserve">DRM-04</t>
  </si>
  <si>
    <t xml:space="preserve">No Of Resources is mandatory, integer &gt; 0</t>
  </si>
  <si>
    <t xml:space="preserve">Logged in to the Farm Mobile App as a Supervisor or Machine Operator (VBS tenant, QA env). A Planned WO with at least one plot is assigned to the user; the operation has a dummy resource register. Two dummy resources ticked in Add Dummy Resource.</t>
  </si>
  <si>
    <t xml:space="preserve">1. Tap Done.
2. Leave one No Of Resources field empty and try to continue.
3. Enter 0 and try again.
4. Enter 2 in both.</t>
  </si>
  <si>
    <t xml:space="preserve">Empty, 0, then 2</t>
  </si>
  <si>
    <t xml:space="preserve">One mandatory No Of Resources field per selected resource; empty or 0 blocks progress; a positive integer lets the flow continue.</t>
  </si>
  <si>
    <t xml:space="preserve">AgriERP FSCM - Dummy Resources v2.pdf — Figure 9 (p.15); Validation Rules – Mandatory Fields</t>
  </si>
  <si>
    <t xml:space="preserve">DRM-05</t>
  </si>
  <si>
    <t xml:space="preserve">Select Asset per resource; Add Machine / Add Dummy Machine sheet</t>
  </si>
  <si>
    <t xml:space="preserve">Logged in to the Farm Mobile App as a Supervisor or Machine Operator (VBS tenant, QA env). A Planned WO with at least one plot is assigned to the user; the operation has a dummy resource register. No Of Resources entered for the selected dummy resources.</t>
  </si>
  <si>
    <t xml:space="preserve">1. On Select Asset, open a resource row.
2. Choose to attach a machine.
3. Choose to attach an implement.
4. Select a machine, tick it and tap Done.</t>
  </si>
  <si>
    <t xml:space="preserve">Dummy machine and actual machine available</t>
  </si>
  <si>
    <t xml:space="preserve">Add Machine / Add Dummy Machine sheet appears only when dummy assets of that kind exist; implements (no dummy assets today) open the selection page directly; chosen machine is listed against the resource. Either register usable by dummy or named resources.</t>
  </si>
  <si>
    <t xml:space="preserve">AgriERP FSCM - Dummy Resources v2.pdf — Figures 10–12 (p.16–18); Dummy Asset Register</t>
  </si>
  <si>
    <t xml:space="preserve">BIND-004, BIND-009, VAL-006, VAL-007, VAL-008</t>
  </si>
  <si>
    <t xml:space="preserve">DRM-06</t>
  </si>
  <si>
    <t xml:space="preserve">Summary before Start Job</t>
  </si>
  <si>
    <t xml:space="preserve">Logged in to the Farm Mobile App as a Supervisor or Machine Operator (VBS tenant, QA env). A Planned WO with at least one plot is assigned to the user; the operation has a dummy resource register. Dummy resources, headcount and assets selected.</t>
  </si>
  <si>
    <t xml:space="preserve">1. Proceed to the Summary screen.</t>
  </si>
  <si>
    <t xml:space="preserve">2 × Machine Operator (DM001) + machine</t>
  </si>
  <si>
    <t xml:space="preserve">Summary shows the plot, dummy resources with headcount, attached assets, and Estimated Hours derived from the headcount.</t>
  </si>
  <si>
    <t xml:space="preserve">AgriERP FSCM - Dummy Resources v2.pdf — Figure 13 (p.19)</t>
  </si>
  <si>
    <t xml:space="preserve">DRM-07</t>
  </si>
  <si>
    <t xml:space="preserve">Start Job creates Shift 1 and writes machine bindings</t>
  </si>
  <si>
    <t xml:space="preserve">Starting &amp; resuming (In Progress)</t>
  </si>
  <si>
    <t xml:space="preserve">Logged in to the Farm Mobile App as a Supervisor or Machine Operator (VBS tenant, QA env). A Planned WO with at least one plot is assigned to the user; the operation has a dummy resource register. Summary reviewed; plot in To Do.</t>
  </si>
  <si>
    <t xml:space="preserve">1. Tap Start Job at 02:00 PM.
2. Check the plot card status.
3. Open Add / Update Dummy Resource.</t>
  </si>
  <si>
    <t xml:space="preserve">Start 02:00 PM; Standard Hours 2; No Of Resources 1; actual machine</t>
  </si>
  <si>
    <t xml:space="preserve">Shift 1 is created; plot goes In Progress; 2 h logged (1 × 2); machine bound 02:00 PM – 04:00 PM.</t>
  </si>
  <si>
    <t xml:space="preserve">AgriERP FSCM - Dummy Resources v2.pdf — Figure 14 (p.20); Machine Binding &amp; Shift Window</t>
  </si>
  <si>
    <t xml:space="preserve">⚠ Figure 14 still says 'until Pause or Stop'; the revised Important Point no longer states post-Pause/Stop status. Confirm with PO.</t>
  </si>
  <si>
    <t xml:space="preserve">BIND-001</t>
  </si>
  <si>
    <t xml:space="preserve">DRM-08</t>
  </si>
  <si>
    <t xml:space="preserve">Hours = No. of Resources × Standard Hours; machine logs same hours</t>
  </si>
  <si>
    <t xml:space="preserve">Hours &amp; machine binding</t>
  </si>
  <si>
    <t xml:space="preserve">Logged in to the Farm Mobile App as a Supervisor or Machine Operator. An In Progress WO (`pnpm seed:hourlog`) has at least one logged dummy resource shift on a plot.</t>
  </si>
  <si>
    <t xml:space="preserve">1. Open Add / Update Dummy Resource on the plot.
2. Read hours per resource, machine hours and Total Hours Logged.
3. Try to edit the hours directly.</t>
  </si>
  <si>
    <t xml:space="preserve">2 res × 2 h + 1 res × 2 h, each with a machine on the first</t>
  </si>
  <si>
    <t xml:space="preserve">Hours are read-only and equal headcount × standard hours; the attached machine logs the same hours; plot total = resource + machine hours (Figure 6: 6 h resource + 4 h machine = 10 h).</t>
  </si>
  <si>
    <t xml:space="preserve">AgriERP FSCM - Dummy Resources v2.pdf — Figure 6 (p.12); Hour Calculation</t>
  </si>
  <si>
    <t xml:space="preserve">VAL-012, VAL-013, VAL-014</t>
  </si>
  <si>
    <t xml:space="preserve">DRM-09</t>
  </si>
  <si>
    <t xml:space="preserve">Machine bound in the shift window cannot be selected</t>
  </si>
  <si>
    <t xml:space="preserve">Logged in to the Farm Mobile App as a Supervisor or Machine Operator (VBS tenant, QA env). A Planned WO with at least one plot is assigned to the user; the operation has a dummy resource register. Machine M1 is bound to another resource 02:00–04:00 PM.</t>
  </si>
  <si>
    <t xml:space="preserve">1. Start a shift whose window overlaps 02:00–04:00 PM.
2. On Select Machine, find M1.
3. Tap M1.</t>
  </si>
  <si>
    <t xml:space="preserve">M1 bound to Machine Operator (DM001) 02:00–04:00 PM</t>
  </si>
  <si>
    <t xml:space="preserve">M1 is greyed out with a Bound tag and "Already bound to &lt;resource&gt; · &lt;start&gt; – &lt;end&gt;"; tapping shows "&lt;Machine&gt; is already bound to &lt;resource&gt; from &lt;start&gt; to &lt;end&gt;."</t>
  </si>
  <si>
    <t xml:space="preserve">AgriERP FSCM - Dummy Resources v2.pdf — Figures 15–16 (p.21–22); Machine Binding Validation</t>
  </si>
  <si>
    <t xml:space="preserve">BIND-002, BIND-003, BIND-010, VAL-002</t>
  </si>
  <si>
    <t xml:space="preserve">DRM-10</t>
  </si>
  <si>
    <t xml:space="preserve">Resume Job appends a new shift to the plot</t>
  </si>
  <si>
    <t xml:space="preserve">Logged in to the Farm Mobile App as a Supervisor or Machine Operator (VBS tenant, QA env). A Planned WO in In Progress status (seed with `pnpm seed:hourlog`, which creates the WO and sets it In Progress) has Shift 1 logged on one plot (plot card shows In Progress). Keep the WO forward-only: never revert it to To Do or delete it.</t>
  </si>
  <si>
    <t xml:space="preserve">1. Open the In Progress WO on the Work Order Detail screen (plot shows Shift 1).
2. Swipe the plot card left → Resume.
3. Swipe right → Add / Update Dummy Resource; add a dummy resource, enter No Of Resources, attach a machine, tap Done.
4. Review the Summary and tap Start Job.
5. Repeat steps 2–4 once more.
6. Swipe right → Add / Update Dummy Resource and review the shift list.</t>
  </si>
  <si>
    <t xml:space="preserve">Machine Operator (DM001); No Of Resources: 2</t>
  </si>
  <si>
    <t xml:space="preserve">Each Resume runs the same Start Job flow and appends one new shift (Shift 2, then Shift 3). Shift 1 remains listed; no shift is replaced.</t>
  </si>
  <si>
    <t xml:space="preserve">AgriERP FSCM - Dummy Resources v2.pdf — Important Point – Resume Job and Shifts (p.22)</t>
  </si>
  <si>
    <t xml:space="preserve">PSD was: 'appends a second shift'; now: 'appends a new shift'.</t>
  </si>
  <si>
    <t xml:space="preserve">DRM-15</t>
  </si>
  <si>
    <t xml:space="preserve">Plot remains In Progress once the job is started</t>
  </si>
  <si>
    <t xml:space="preserve">1. Open the In Progress WO on the Work Order Detail screen; note the plot card status (Shift 1 logged).
2. Swipe the plot card left → Resume; complete the dummy resource flow and tap Start Job (Shift 2).
3. Note the plot card status.
4. Swipe left → Resume again; complete the flow and tap Start Job (Shift 3).
5. Note the plot card status again.</t>
  </si>
  <si>
    <t xml:space="preserve">Irrigator (DM002); No Of Resources: 1</t>
  </si>
  <si>
    <t xml:space="preserve">Plot card reads In Progress before Resume (step 1) and stays In Progress after each Resume (steps 3 and 5). It never returns to To Do between shifts.</t>
  </si>
  <si>
    <t xml:space="preserve">PSD dropped 'only Pause or Stop returns it to To Do'.</t>
  </si>
  <si>
    <t xml:space="preserve">DRM-16</t>
  </si>
  <si>
    <t xml:space="preserve">Each new shift's hours add to the plot total</t>
  </si>
  <si>
    <t xml:space="preserve">Logged in to the Farm Mobile App as a Supervisor or Machine Operator (VBS tenant, QA env). A Planned WO in In Progress status (seed with `pnpm seed:hourlog`, which creates the WO and sets it In Progress) has Shift 1 logged on one plot (plot card shows In Progress). Keep the WO forward-only: never revert it to To Do or delete it. Shift 1 was logged with 2 dummy resources; standard hours = 2 h.</t>
  </si>
  <si>
    <t xml:space="preserve">1. Confirm Shift 1 on the In Progress plot has 2 dummy resources.
2. Note Total Hours Logged in Add / Update Dummy Resource.
3. Swipe left → Resume; add 1 dummy resource and tap Start Job (Shift 2).
4. Reopen Add / Update Dummy Resource and read Total Hours Logged and each shift's hours.</t>
  </si>
  <si>
    <t xml:space="preserve">Shift 1: 2 × 2 h; Shift 2: 1 × 2 h</t>
  </si>
  <si>
    <t xml:space="preserve">Shift 1 logs 4 h, Shift 2 logs 2 h; Total Hours Logged shows 6 h resource (plus machine hours). Shift 1 still shows 4 h.</t>
  </si>
  <si>
    <t xml:space="preserve">DRM-17</t>
  </si>
  <si>
    <t xml:space="preserve">Multiple shifts per day keep their own resources, headcount, machines and window</t>
  </si>
  <si>
    <t xml:space="preserve">Logged in to the Farm Mobile App as a Supervisor or Machine Operator (VBS tenant, QA env). A Planned WO in In Progress status (seed with `pnpm seed:hourlog`, which creates the WO and sets it In Progress) has Shift 1 logged on one plot (plot card shows In Progress). Keep the WO forward-only: never revert it to To Do or delete it. Shift 1 uses dummy resource A × 2 with machine M1; dummy resource B and machine M2 are available.</t>
  </si>
  <si>
    <t xml:space="preserve">1. Confirm Shift 1 on the In Progress plot uses dummy resource A, No Of Resources 2, machine M1.
2. Swipe left → Resume; add dummy resource B, No Of Resources 3, machine M2; tap Start Job (Shift 2).
3. Open Add / Update Dummy Resource and compare both shifts.</t>
  </si>
  <si>
    <t xml:space="preserve">A: Machine Operator (DM001); B: Irrigator (DM002); M1/M2: two unbound machines</t>
  </si>
  <si>
    <t xml:space="preserve">Both shifts listed on the same plot and day. Shift 1: A × 2, M1, own window. Shift 2: B × 3, M2, own window. Shift 1 unchanged.</t>
  </si>
  <si>
    <t xml:space="preserve">DRM-11</t>
  </si>
  <si>
    <t xml:space="preserve">Raising headcount extends hours and binding window; blocked on conflict</t>
  </si>
  <si>
    <t xml:space="preserve">Logged in to the Farm Mobile App as a Supervisor or Machine Operator. An In Progress WO (`pnpm seed:hourlog`) has at least one logged dummy resource shift on a plot. The shift has an actual machine; that machine was used by an actual resource on the same WO right after the shift window.</t>
  </si>
  <si>
    <t xml:space="preserve">1. Tap the pencil on the shift.
2. Raise No Of Resources by 1 on a machine with no conflict; save.
3. On the conflicting shift, raise No Of Resources so the window overlaps the actual resource's use.</t>
  </si>
  <si>
    <t xml:space="preserve">No Of Resources 1 → 2</t>
  </si>
  <si>
    <t xml:space="preserve">Step 2: hours and binding end extend. Step 3: change blocked, Save stays disabled until the headcount is reduced or the machine is freed.</t>
  </si>
  <si>
    <t xml:space="preserve">AgriERP FSCM - Dummy Resources v2.pdf — Headcount Update Validation (p.22)</t>
  </si>
  <si>
    <t xml:space="preserve">BIND-005, BIND-006, BIND-007, BIND-008, VAL-003</t>
  </si>
  <si>
    <t xml:space="preserve">DRM-12</t>
  </si>
  <si>
    <t xml:space="preserve">Correct or delete a shift</t>
  </si>
  <si>
    <t xml:space="preserve">Corrections, availability &amp; audit</t>
  </si>
  <si>
    <t xml:space="preserve">1. Tap the pencil; change No Of Resources.
2. Remove one resource from a multi-resource shift.
3. Tap the bin on a shift.
4. Remove the last resource of another shift.
5. On a posted, completed WO, try to delete a shift.</t>
  </si>
  <si>
    <t xml:space="preserve">Hours and window recalculate; Remove takes the resource off; bin deletes the shift and its hours/bindings from the total; removing the last resource deletes the shift; deletion not allowed once posted and the WO is completed.</t>
  </si>
  <si>
    <t xml:space="preserve">AgriERP FSCM - Dummy Resources v2.pdf — Important Point – Correcting and Deleting a Shift (p.22–23)</t>
  </si>
  <si>
    <t xml:space="preserve">VAL-009, VAL-010, VAL-011</t>
  </si>
  <si>
    <t xml:space="preserve">DRM-13</t>
  </si>
  <si>
    <t xml:space="preserve">Named resource on a running job is unavailable; dummy unrestricted</t>
  </si>
  <si>
    <t xml:space="preserve">Logged in to the Farm Mobile App as a Supervisor or Machine Operator (VBS tenant, QA env). A Planned WO with at least one plot is assigned to the user; the operation has a dummy resource register. A named resource is working on a running job on another plot.</t>
  </si>
  <si>
    <t xml:space="preserve">1. Add Resources for a new shift; find the busy named resource.
2. Tap it.
3. Add a dummy resource that is on a running job.</t>
  </si>
  <si>
    <t xml:space="preserve">Named resource busy on another plot</t>
  </si>
  <si>
    <t xml:space="preserve">Named row shows "Already working on &lt;plot&gt;" and tapping raises an error; dummy resource can be selected.</t>
  </si>
  <si>
    <t xml:space="preserve">AgriERP FSCM - Dummy Resources v2.pdf — Named Resource Availability Validation</t>
  </si>
  <si>
    <t xml:space="preserve">DRM-14</t>
  </si>
  <si>
    <t xml:space="preserve">Audit trail for shifts and corrections</t>
  </si>
  <si>
    <t xml:space="preserve">1. Start a shift, then correct its headcount.
2. Open notifications.
3. Open View All Logs.</t>
  </si>
  <si>
    <t xml:space="preserve">Each shift and correction records user, timestamp, source (Web/Mobile) and device, and is shown in notifications and View All Logs.</t>
  </si>
  <si>
    <t xml:space="preserve">AgriERP FSCM - Dummy Resources v2.pdf — Dummy Resource Audit Trail Logs (p.23)</t>
  </si>
  <si>
    <t xml:space="preserve">AUD-001, AUD-002, AUD-003, AUD-004, AUD-005</t>
  </si>
  <si>
    <t xml:space="preserve">Summary</t>
  </si>
  <si>
    <t xml:space="preserve">By change</t>
  </si>
  <si>
    <t xml:space="preserve">Count</t>
  </si>
  <si>
    <t xml:space="preserve">Total</t>
  </si>
  <si>
    <t xml:space="preserve">By platform</t>
  </si>
  <si>
    <t xml:space="preserve">By priority</t>
  </si>
  <si>
    <t xml:space="preserve">By result</t>
  </si>
  <si>
    <t xml:space="preserve">Open question: the revised PSD no longer states the plot status after Pause or Stop (Figure 14 still says 'until Pause or Stop'). Confirm with the PO before adding a case.</t>
  </si>
  <si>
    <t xml:space="preserve">Client sheet → this suite (non-mobile tabs only; the client's 'Mobile - Dummy Resource' tab was skipped)</t>
  </si>
  <si>
    <t xml:space="preserve">Client file: resources/Vann Brothers test cases/Vann Brothers test cases/AgriERP_Dummy_Resource_Test_Cases.xlsx</t>
  </si>
  <si>
    <t xml:space="preserve">Client TC</t>
  </si>
  <si>
    <t xml:space="preserve">Client tab</t>
  </si>
  <si>
    <t xml:space="preserve">Client scenario</t>
  </si>
  <si>
    <t xml:space="preserve">Our case(s)</t>
  </si>
  <si>
    <t xml:space="preserve">Coverage</t>
  </si>
  <si>
    <t xml:space="preserve">Note</t>
  </si>
  <si>
    <t xml:space="preserve">Web - Resource Selection</t>
  </si>
  <si>
    <t xml:space="preserve">"+" icon on Select Resources opens the dropdown</t>
  </si>
  <si>
    <t xml:space="preserve">Covered</t>
  </si>
  <si>
    <t xml:space="preserve">WEB-002</t>
  </si>
  <si>
    <t xml:space="preserve">Selecting "Add Dummy Resource" opens the dummy-filtered selection page</t>
  </si>
  <si>
    <t xml:space="preserve">WEB-003</t>
  </si>
  <si>
    <t xml:space="preserve">Dummy Resource Yes/No toggle is removed from the selection page</t>
  </si>
  <si>
    <t xml:space="preserve">DR-03, DR-04</t>
  </si>
  <si>
    <t xml:space="preserve">Both register pages assert no toggle.</t>
  </si>
  <si>
    <t xml:space="preserve">Resource Group filter narrows the dummy list</t>
  </si>
  <si>
    <t xml:space="preserve">Added</t>
  </si>
  <si>
    <t xml:space="preserve">Search by Resource Name filter works on the dummy list</t>
  </si>
  <si>
    <t xml:space="preserve">Search by Company Name filter works on the dummy list</t>
  </si>
  <si>
    <t xml:space="preserve">Reset clears all applied filters</t>
  </si>
  <si>
    <t xml:space="preserve">Fails live: Reset switches to the named register (FINDINGS #48).</t>
  </si>
  <si>
    <t xml:space="preserve">Resources already on the work order show the yellow "Dummy Resource" chip</t>
  </si>
  <si>
    <t xml:space="preserve">Chip verified live 2026-09-30.</t>
  </si>
  <si>
    <t xml:space="preserve">WEB-009</t>
  </si>
  <si>
    <t xml:space="preserve">"Add Resource" opens the named/actual resource register, not the dummy one</t>
  </si>
  <si>
    <t xml:space="preserve">WEB-010</t>
  </si>
  <si>
    <t xml:space="preserve">Register cannot be changed mid-selection (dummy vs. named)</t>
  </si>
  <si>
    <t xml:space="preserve">Same check as client WEB-003 (no in-page register switch).</t>
  </si>
  <si>
    <t xml:space="preserve">Multiple dummy resources can be selected and saved in one pass</t>
  </si>
  <si>
    <t xml:space="preserve">Dummy resources are maintained as flagged master data in Resource Management</t>
  </si>
  <si>
    <t xml:space="preserve">Machine Binding &amp; Window</t>
  </si>
  <si>
    <t xml:space="preserve">Machine binding window is derived from shift start time and planned hours</t>
  </si>
  <si>
    <t xml:space="preserve">BIND-002</t>
  </si>
  <si>
    <t xml:space="preserve">A machine bound for any part of the requested window is greyed out and tagged Bound</t>
  </si>
  <si>
    <t xml:space="preserve">Client adds the shift-window banner text from the mock; mobile, not added.</t>
  </si>
  <si>
    <t xml:space="preserve">BIND-003</t>
  </si>
  <si>
    <t xml:space="preserve">Selecting a Bound machine is blocked with an inline error</t>
  </si>
  <si>
    <t xml:space="preserve">BIND-004</t>
  </si>
  <si>
    <t xml:space="preserve">A machine with no conflicting window can be selected normally</t>
  </si>
  <si>
    <t xml:space="preserve">BIND-005</t>
  </si>
  <si>
    <t xml:space="preserve">Raising No. of Resources on an existing shift extends hours and the binding window end time</t>
  </si>
  <si>
    <t xml:space="preserve">BIND-006</t>
  </si>
  <si>
    <t xml:space="preserve">Headcount increase re-validates the machine only over the newly claimed (extra) time</t>
  </si>
  <si>
    <t xml:space="preserve">Partial</t>
  </si>
  <si>
    <t xml:space="preserve">Re-check limited to the extra time isn't asserted separately. Mobile, not added.</t>
  </si>
  <si>
    <t xml:space="preserve">BIND-007</t>
  </si>
  <si>
    <t xml:space="preserve">Headcount increase is blocked when the machine was used by an actual (named) resource during the extra time</t>
  </si>
  <si>
    <t xml:space="preserve">BIND-008</t>
  </si>
  <si>
    <t xml:space="preserve">Headcount increase succeeds when the machine is free during the extra time</t>
  </si>
  <si>
    <t xml:space="preserve">BIND-009</t>
  </si>
  <si>
    <t xml:space="preserve">Both dummy and named resources may work with either an actual or a dummy machine</t>
  </si>
  <si>
    <t xml:space="preserve">BIND-010</t>
  </si>
  <si>
    <t xml:space="preserve">An actual machine is unavailable to any other crew for the whole bound window</t>
  </si>
  <si>
    <t xml:space="preserve">DRM-09 doesn't cover the machine being bound on a different WO. Mobile, not added.</t>
  </si>
  <si>
    <t xml:space="preserve">Validation Rules</t>
  </si>
  <si>
    <t xml:space="preserve">No. of Resources is mandatory and must be greater than zero (Web &amp; Mobile)</t>
  </si>
  <si>
    <t xml:space="preserve">DR-06, DRM-04, DR-18</t>
  </si>
  <si>
    <t xml:space="preserve">Extended</t>
  </si>
  <si>
    <t xml:space="preserve">'Attachment optional' clause added as DR-18. Web half blocked: no headcount input (FINDINGS #47).</t>
  </si>
  <si>
    <t xml:space="preserve">VAL-002</t>
  </si>
  <si>
    <t xml:space="preserve">Machine already bound for any part of a shift window cannot be selected</t>
  </si>
  <si>
    <t xml:space="preserve">VAL-003</t>
  </si>
  <si>
    <t xml:space="preserve">Headcount increase is re-validated and blocked on conflict with an actual resource</t>
  </si>
  <si>
    <t xml:space="preserve">VAL-004</t>
  </si>
  <si>
    <t xml:space="preserve">A named resource already on a running job cannot be selected again</t>
  </si>
  <si>
    <t xml:space="preserve">DR-09, DRM-13</t>
  </si>
  <si>
    <t xml:space="preserve">VAL-005</t>
  </si>
  <si>
    <t xml:space="preserve">Dummy resources are never blocked by a running job</t>
  </si>
  <si>
    <t xml:space="preserve">VAL-006</t>
  </si>
  <si>
    <t xml:space="preserve">Add Machine / Add Dummy Machine choice is shown only when the register holds a dummy asset of that kind</t>
  </si>
  <si>
    <t xml:space="preserve">VAL-007</t>
  </si>
  <si>
    <t xml:space="preserve">Selection page opens directly when the register holds no dummy asset of that kind</t>
  </si>
  <si>
    <t xml:space="preserve">VAL-008</t>
  </si>
  <si>
    <t xml:space="preserve">Both dummy and named resources may select from either asset register</t>
  </si>
  <si>
    <t xml:space="preserve">VAL-009</t>
  </si>
  <si>
    <t xml:space="preserve">Deleting a shift removes its hours and machine bindings from the plot total</t>
  </si>
  <si>
    <t xml:space="preserve">VAL-010</t>
  </si>
  <si>
    <t xml:space="preserve">Removing the last resource of a shift deletes the shift</t>
  </si>
  <si>
    <t xml:space="preserve">VAL-011</t>
  </si>
  <si>
    <t xml:space="preserve">Shift/resource deletion is blocked once the work order is completed and hours are posted</t>
  </si>
  <si>
    <t xml:space="preserve">VAL-012</t>
  </si>
  <si>
    <t xml:space="preserve">Hours logged equal No. of Resources × Standard Hours and are read-only</t>
  </si>
  <si>
    <t xml:space="preserve">VAL-013</t>
  </si>
  <si>
    <t xml:space="preserve">Machine/implement hours equal the hours of the resource they are attached to</t>
  </si>
  <si>
    <t xml:space="preserve">VAL-014</t>
  </si>
  <si>
    <t xml:space="preserve">Plot total equals the sum of resource hours and machine/implement hours</t>
  </si>
  <si>
    <t xml:space="preserve">INT-001</t>
  </si>
  <si>
    <t xml:space="preserve">Integrations</t>
  </si>
  <si>
    <t xml:space="preserve">Dummy resource hours post to the ERP project like a named resource's hours</t>
  </si>
  <si>
    <t xml:space="preserve">INT-002</t>
  </si>
  <si>
    <t xml:space="preserve">Posting is restricted when the work order/plot has no ERP project linkage</t>
  </si>
  <si>
    <t xml:space="preserve">INT-003</t>
  </si>
  <si>
    <t xml:space="preserve">Corrections made before completion are re-posted to ERP</t>
  </si>
  <si>
    <t xml:space="preserve">INT-004</t>
  </si>
  <si>
    <t xml:space="preserve">Hours become read-only after work order completion</t>
  </si>
  <si>
    <t xml:space="preserve">INT-005</t>
  </si>
  <si>
    <t xml:space="preserve">System-generated dummy resource logs appear on Hour Log Adjustment with headcount and standard hours</t>
  </si>
  <si>
    <t xml:space="preserve">INT-006</t>
  </si>
  <si>
    <t xml:space="preserve">Dummy resource hours are visible with source, device, and user on Web resource list, Spent Hours, and WO logs</t>
  </si>
  <si>
    <t xml:space="preserve">DR-07 now also checks the work order logs.</t>
  </si>
  <si>
    <t xml:space="preserve">Dummy resource hours remain adjustable from Spent Hours until the work order is completed</t>
  </si>
  <si>
    <t xml:space="preserve">AUD-001</t>
  </si>
  <si>
    <t xml:space="preserve">Audit Trail</t>
  </si>
  <si>
    <t xml:space="preserve">Shift creation is logged with user, timestamp, source, and device</t>
  </si>
  <si>
    <t xml:space="preserve">AUD-002</t>
  </si>
  <si>
    <t xml:space="preserve">Shift corrections are logged with user, timestamp, source, and device</t>
  </si>
  <si>
    <t xml:space="preserve">AUD-003</t>
  </si>
  <si>
    <t xml:space="preserve">Audit entries are viewable inside Notifications</t>
  </si>
  <si>
    <t xml:space="preserve">AUD-004</t>
  </si>
  <si>
    <t xml:space="preserve">Audit entries are viewable inside "View All Logs"</t>
  </si>
  <si>
    <t xml:space="preserve">AUD-005</t>
  </si>
  <si>
    <t xml:space="preserve">Updated By and Updated Date/Time populate correctly after an edit</t>
  </si>
  <si>
    <t xml:space="preserve">Updated By / Updated Date/Time are Data Dictionary fields; the PSD doesn't name the screen that shows them. Not added.</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</si>
</sst>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color rgb="FF595959"/>
      <name val="Arial"/>
      <family val="0"/>
      <charset val="1"/>
    </font>
    <font>
      <sz val="9"/>
      <color rgb="FF595959"/>
      <name val="Arial"/>
      <family val="0"/>
      <charset val="1"/>
    </font>
    <font>
      <b val="true"/>
      <sz val="11"/>
      <color rgb="FFFFFFFF"/>
      <name val="Arial"/>
      <family val="0"/>
      <charset val="1"/>
    </font>
    <font>
      <sz val="10"/>
      <name val="Arial"/>
      <family val="0"/>
      <charset val="1"/>
    </font>
    <font>
      <b val="true"/>
      <sz val="11"/>
      <name val="Arial"/>
      <family val="0"/>
      <charset val="1"/>
    </font>
    <font>
      <sz val="11"/>
      <name val="Arial"/>
      <family val="0"/>
      <charset val="1"/>
    </font>
    <font>
      <i val="true"/>
      <sz val="9"/>
      <color rgb="FFC00000"/>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FFF"/>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00"/>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10"/>
    <col collapsed="false" customWidth="true" hidden="false" outlineLevel="0" max="4" min="4" style="0" width="20"/>
    <col collapsed="false" customWidth="true" hidden="false" outlineLevel="0" max="5" min="5" style="0" width="18"/>
    <col collapsed="false" customWidth="true" hidden="false" outlineLevel="0" max="6" min="6" style="0" width="10"/>
    <col collapsed="false" customWidth="true" hidden="false" outlineLevel="0" max="7" min="7" style="0" width="8"/>
    <col collapsed="false" customWidth="true" hidden="false" outlineLevel="0" max="8" min="8" style="0" width="14"/>
    <col collapsed="false" customWidth="true" hidden="false" outlineLevel="0" max="9" min="9" style="0" width="40"/>
    <col collapsed="false" customWidth="true" hidden="false" outlineLevel="0" max="10" min="10" style="0" width="55"/>
    <col collapsed="false" customWidth="true" hidden="false" outlineLevel="0" max="11" min="11" style="0" width="26"/>
    <col collapsed="false" customWidth="true" hidden="false" outlineLevel="0" max="12" min="12" style="0" width="48"/>
    <col collapsed="false" customWidth="true" hidden="false" outlineLevel="0" max="13" min="13" style="0" width="34"/>
    <col collapsed="false" customWidth="true" hidden="false" outlineLevel="0" max="14" min="14" style="0" width="24"/>
    <col collapsed="false" customWidth="true" hidden="false" outlineLevel="0" max="15" min="15" style="0" width="30"/>
    <col collapsed="false" customWidth="true" hidden="false" outlineLevel="0" max="16" min="16" style="0" width="16"/>
    <col collapsed="false" customWidth="true" hidden="false" outlineLevel="0" max="17" min="17" style="0" width="11"/>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26.85" hidden="false" customHeight="fals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c r="P5" s="4" t="s">
        <v>18</v>
      </c>
      <c r="Q5" s="4" t="s">
        <v>19</v>
      </c>
    </row>
    <row r="6" customFormat="false" ht="57.45" hidden="false" customHeight="false" outlineLevel="0" collapsed="false">
      <c r="A6" s="5" t="s">
        <v>20</v>
      </c>
      <c r="B6" s="5" t="s">
        <v>21</v>
      </c>
      <c r="C6" s="6" t="s">
        <v>22</v>
      </c>
      <c r="D6" s="5" t="s">
        <v>23</v>
      </c>
      <c r="E6" s="5" t="s">
        <v>24</v>
      </c>
      <c r="F6" s="5" t="s">
        <v>25</v>
      </c>
      <c r="G6" s="5" t="s">
        <v>26</v>
      </c>
      <c r="H6" s="5" t="s">
        <v>27</v>
      </c>
      <c r="I6" s="5" t="s">
        <v>28</v>
      </c>
      <c r="J6" s="5" t="s">
        <v>29</v>
      </c>
      <c r="K6" s="5" t="s">
        <v>30</v>
      </c>
      <c r="L6" s="5" t="s">
        <v>31</v>
      </c>
      <c r="M6" s="5" t="s">
        <v>32</v>
      </c>
      <c r="N6" s="5" t="s">
        <v>33</v>
      </c>
      <c r="O6" s="5"/>
      <c r="P6" s="5" t="s">
        <v>34</v>
      </c>
      <c r="Q6" s="7" t="s">
        <v>35</v>
      </c>
    </row>
    <row r="7" customFormat="false" ht="57.45" hidden="false" customHeight="false" outlineLevel="0" collapsed="false">
      <c r="A7" s="5" t="s">
        <v>36</v>
      </c>
      <c r="B7" s="5" t="s">
        <v>37</v>
      </c>
      <c r="C7" s="6" t="s">
        <v>22</v>
      </c>
      <c r="D7" s="5" t="s">
        <v>23</v>
      </c>
      <c r="E7" s="5" t="s">
        <v>24</v>
      </c>
      <c r="F7" s="5" t="s">
        <v>25</v>
      </c>
      <c r="G7" s="5" t="s">
        <v>38</v>
      </c>
      <c r="H7" s="5" t="s">
        <v>39</v>
      </c>
      <c r="I7" s="5" t="s">
        <v>28</v>
      </c>
      <c r="J7" s="5" t="s">
        <v>40</v>
      </c>
      <c r="K7" s="5" t="s">
        <v>34</v>
      </c>
      <c r="L7" s="5" t="s">
        <v>41</v>
      </c>
      <c r="M7" s="5" t="s">
        <v>42</v>
      </c>
      <c r="N7" s="5" t="s">
        <v>43</v>
      </c>
      <c r="O7" s="5" t="s">
        <v>44</v>
      </c>
      <c r="P7" s="5" t="s">
        <v>45</v>
      </c>
      <c r="Q7" s="7" t="s">
        <v>46</v>
      </c>
    </row>
    <row r="8" customFormat="false" ht="57.45" hidden="false" customHeight="false" outlineLevel="0" collapsed="false">
      <c r="A8" s="5" t="s">
        <v>47</v>
      </c>
      <c r="B8" s="5" t="s">
        <v>48</v>
      </c>
      <c r="C8" s="6" t="s">
        <v>22</v>
      </c>
      <c r="D8" s="5" t="s">
        <v>23</v>
      </c>
      <c r="E8" s="5" t="s">
        <v>24</v>
      </c>
      <c r="F8" s="5" t="s">
        <v>25</v>
      </c>
      <c r="G8" s="5" t="s">
        <v>38</v>
      </c>
      <c r="H8" s="5" t="s">
        <v>39</v>
      </c>
      <c r="I8" s="5" t="s">
        <v>28</v>
      </c>
      <c r="J8" s="5" t="s">
        <v>49</v>
      </c>
      <c r="K8" s="5" t="s">
        <v>34</v>
      </c>
      <c r="L8" s="5" t="s">
        <v>50</v>
      </c>
      <c r="M8" s="5" t="s">
        <v>51</v>
      </c>
      <c r="N8" s="5" t="s">
        <v>43</v>
      </c>
      <c r="O8" s="5"/>
      <c r="P8" s="5" t="s">
        <v>52</v>
      </c>
      <c r="Q8" s="7" t="s">
        <v>46</v>
      </c>
    </row>
    <row r="9" customFormat="false" ht="57.45" hidden="false" customHeight="false" outlineLevel="0" collapsed="false">
      <c r="A9" s="5" t="s">
        <v>53</v>
      </c>
      <c r="B9" s="5" t="s">
        <v>54</v>
      </c>
      <c r="C9" s="6" t="s">
        <v>22</v>
      </c>
      <c r="D9" s="5" t="s">
        <v>23</v>
      </c>
      <c r="E9" s="5" t="s">
        <v>24</v>
      </c>
      <c r="F9" s="5" t="s">
        <v>25</v>
      </c>
      <c r="G9" s="5" t="s">
        <v>38</v>
      </c>
      <c r="H9" s="5" t="s">
        <v>55</v>
      </c>
      <c r="I9" s="5" t="s">
        <v>28</v>
      </c>
      <c r="J9" s="5" t="s">
        <v>56</v>
      </c>
      <c r="K9" s="5" t="s">
        <v>34</v>
      </c>
      <c r="L9" s="5" t="s">
        <v>57</v>
      </c>
      <c r="M9" s="5" t="s">
        <v>58</v>
      </c>
      <c r="N9" s="5" t="s">
        <v>43</v>
      </c>
      <c r="O9" s="5"/>
      <c r="P9" s="5" t="s">
        <v>59</v>
      </c>
      <c r="Q9" s="7" t="s">
        <v>46</v>
      </c>
    </row>
    <row r="10" customFormat="false" ht="68.65" hidden="false" customHeight="false" outlineLevel="0" collapsed="false">
      <c r="A10" s="5" t="s">
        <v>60</v>
      </c>
      <c r="B10" s="5" t="s">
        <v>61</v>
      </c>
      <c r="C10" s="6" t="s">
        <v>22</v>
      </c>
      <c r="D10" s="5" t="s">
        <v>23</v>
      </c>
      <c r="E10" s="5" t="s">
        <v>24</v>
      </c>
      <c r="F10" s="5" t="s">
        <v>25</v>
      </c>
      <c r="G10" s="5" t="s">
        <v>62</v>
      </c>
      <c r="H10" s="5" t="s">
        <v>63</v>
      </c>
      <c r="I10" s="5" t="s">
        <v>64</v>
      </c>
      <c r="J10" s="5" t="s">
        <v>65</v>
      </c>
      <c r="K10" s="5" t="s">
        <v>30</v>
      </c>
      <c r="L10" s="5" t="s">
        <v>66</v>
      </c>
      <c r="M10" s="5" t="s">
        <v>67</v>
      </c>
      <c r="N10" s="5" t="s">
        <v>43</v>
      </c>
      <c r="O10" s="5"/>
      <c r="P10" s="5" t="s">
        <v>68</v>
      </c>
      <c r="Q10" s="7" t="s">
        <v>46</v>
      </c>
    </row>
    <row r="11" customFormat="false" ht="68.65" hidden="false" customHeight="false" outlineLevel="0" collapsed="false">
      <c r="A11" s="5" t="s">
        <v>69</v>
      </c>
      <c r="B11" s="5" t="s">
        <v>70</v>
      </c>
      <c r="C11" s="6" t="s">
        <v>22</v>
      </c>
      <c r="D11" s="5" t="s">
        <v>71</v>
      </c>
      <c r="E11" s="5" t="s">
        <v>24</v>
      </c>
      <c r="F11" s="5" t="s">
        <v>25</v>
      </c>
      <c r="G11" s="5" t="s">
        <v>26</v>
      </c>
      <c r="H11" s="5" t="s">
        <v>72</v>
      </c>
      <c r="I11" s="5" t="s">
        <v>64</v>
      </c>
      <c r="J11" s="5" t="s">
        <v>73</v>
      </c>
      <c r="K11" s="5" t="s">
        <v>74</v>
      </c>
      <c r="L11" s="5" t="s">
        <v>75</v>
      </c>
      <c r="M11" s="5" t="s">
        <v>76</v>
      </c>
      <c r="N11" s="5" t="s">
        <v>77</v>
      </c>
      <c r="O11" s="5" t="s">
        <v>78</v>
      </c>
      <c r="P11" s="5" t="s">
        <v>79</v>
      </c>
      <c r="Q11" s="7" t="s">
        <v>80</v>
      </c>
    </row>
    <row r="12" customFormat="false" ht="57.45" hidden="false" customHeight="false" outlineLevel="0" collapsed="false">
      <c r="A12" s="5" t="s">
        <v>81</v>
      </c>
      <c r="B12" s="5" t="s">
        <v>82</v>
      </c>
      <c r="C12" s="8" t="s">
        <v>83</v>
      </c>
      <c r="D12" s="5" t="s">
        <v>84</v>
      </c>
      <c r="E12" s="5" t="s">
        <v>24</v>
      </c>
      <c r="F12" s="5" t="s">
        <v>25</v>
      </c>
      <c r="G12" s="5" t="s">
        <v>38</v>
      </c>
      <c r="H12" s="5" t="s">
        <v>85</v>
      </c>
      <c r="I12" s="5" t="s">
        <v>86</v>
      </c>
      <c r="J12" s="5" t="s">
        <v>87</v>
      </c>
      <c r="K12" s="5" t="s">
        <v>88</v>
      </c>
      <c r="L12" s="5" t="s">
        <v>89</v>
      </c>
      <c r="M12" s="5" t="s">
        <v>90</v>
      </c>
      <c r="N12" s="5" t="s">
        <v>91</v>
      </c>
      <c r="O12" s="5" t="s">
        <v>92</v>
      </c>
      <c r="P12" s="5" t="s">
        <v>93</v>
      </c>
      <c r="Q12" s="7" t="s">
        <v>94</v>
      </c>
    </row>
    <row r="13" customFormat="false" ht="57.45" hidden="false" customHeight="false" outlineLevel="0" collapsed="false">
      <c r="A13" s="5" t="s">
        <v>95</v>
      </c>
      <c r="B13" s="5" t="s">
        <v>96</v>
      </c>
      <c r="C13" s="6" t="s">
        <v>22</v>
      </c>
      <c r="D13" s="5" t="s">
        <v>84</v>
      </c>
      <c r="E13" s="5" t="s">
        <v>24</v>
      </c>
      <c r="F13" s="5" t="s">
        <v>97</v>
      </c>
      <c r="G13" s="5" t="s">
        <v>26</v>
      </c>
      <c r="H13" s="5" t="s">
        <v>98</v>
      </c>
      <c r="I13" s="5" t="s">
        <v>99</v>
      </c>
      <c r="J13" s="5" t="s">
        <v>100</v>
      </c>
      <c r="K13" s="5" t="s">
        <v>34</v>
      </c>
      <c r="L13" s="5" t="s">
        <v>101</v>
      </c>
      <c r="M13" s="5" t="s">
        <v>102</v>
      </c>
      <c r="N13" s="5" t="s">
        <v>103</v>
      </c>
      <c r="O13" s="5"/>
      <c r="P13" s="5" t="s">
        <v>104</v>
      </c>
      <c r="Q13" s="7" t="s">
        <v>94</v>
      </c>
    </row>
    <row r="14" customFormat="false" ht="46.25" hidden="false" customHeight="false" outlineLevel="0" collapsed="false">
      <c r="A14" s="5" t="s">
        <v>105</v>
      </c>
      <c r="B14" s="5" t="s">
        <v>106</v>
      </c>
      <c r="C14" s="6" t="s">
        <v>22</v>
      </c>
      <c r="D14" s="5" t="s">
        <v>107</v>
      </c>
      <c r="E14" s="5" t="s">
        <v>24</v>
      </c>
      <c r="F14" s="5" t="s">
        <v>25</v>
      </c>
      <c r="G14" s="5" t="s">
        <v>38</v>
      </c>
      <c r="H14" s="5" t="s">
        <v>72</v>
      </c>
      <c r="I14" s="5" t="s">
        <v>108</v>
      </c>
      <c r="J14" s="5" t="s">
        <v>109</v>
      </c>
      <c r="K14" s="5" t="s">
        <v>110</v>
      </c>
      <c r="L14" s="5" t="s">
        <v>111</v>
      </c>
      <c r="M14" s="5" t="s">
        <v>112</v>
      </c>
      <c r="N14" s="5" t="s">
        <v>113</v>
      </c>
      <c r="O14" s="5"/>
      <c r="P14" s="5" t="s">
        <v>114</v>
      </c>
      <c r="Q14" s="7" t="s">
        <v>94</v>
      </c>
    </row>
    <row r="15" customFormat="false" ht="46.25" hidden="false" customHeight="false" outlineLevel="0" collapsed="false">
      <c r="A15" s="5" t="s">
        <v>115</v>
      </c>
      <c r="B15" s="5" t="s">
        <v>116</v>
      </c>
      <c r="C15" s="9" t="s">
        <v>117</v>
      </c>
      <c r="D15" s="5" t="s">
        <v>118</v>
      </c>
      <c r="E15" s="5" t="s">
        <v>24</v>
      </c>
      <c r="F15" s="5" t="s">
        <v>25</v>
      </c>
      <c r="G15" s="5" t="s">
        <v>26</v>
      </c>
      <c r="H15" s="5" t="s">
        <v>119</v>
      </c>
      <c r="I15" s="5" t="s">
        <v>120</v>
      </c>
      <c r="J15" s="5" t="s">
        <v>121</v>
      </c>
      <c r="K15" s="5" t="s">
        <v>122</v>
      </c>
      <c r="L15" s="5" t="s">
        <v>123</v>
      </c>
      <c r="M15" s="5" t="s">
        <v>124</v>
      </c>
      <c r="N15" s="5" t="s">
        <v>125</v>
      </c>
      <c r="O15" s="5" t="s">
        <v>126</v>
      </c>
      <c r="P15" s="5" t="s">
        <v>34</v>
      </c>
      <c r="Q15" s="7" t="s">
        <v>94</v>
      </c>
    </row>
    <row r="16" customFormat="false" ht="68.65" hidden="false" customHeight="false" outlineLevel="0" collapsed="false">
      <c r="A16" s="5" t="s">
        <v>127</v>
      </c>
      <c r="B16" s="5" t="s">
        <v>128</v>
      </c>
      <c r="C16" s="9" t="s">
        <v>117</v>
      </c>
      <c r="D16" s="5" t="s">
        <v>23</v>
      </c>
      <c r="E16" s="5" t="s">
        <v>24</v>
      </c>
      <c r="F16" s="5" t="s">
        <v>25</v>
      </c>
      <c r="G16" s="5" t="s">
        <v>38</v>
      </c>
      <c r="H16" s="5" t="s">
        <v>39</v>
      </c>
      <c r="I16" s="5" t="s">
        <v>129</v>
      </c>
      <c r="J16" s="5" t="s">
        <v>130</v>
      </c>
      <c r="K16" s="5" t="s">
        <v>131</v>
      </c>
      <c r="L16" s="5" t="s">
        <v>132</v>
      </c>
      <c r="M16" s="5" t="s">
        <v>133</v>
      </c>
      <c r="N16" s="5" t="s">
        <v>134</v>
      </c>
      <c r="O16" s="5"/>
      <c r="P16" s="5" t="s">
        <v>135</v>
      </c>
      <c r="Q16" s="7" t="s">
        <v>80</v>
      </c>
    </row>
    <row r="17" customFormat="false" ht="68.65" hidden="false" customHeight="false" outlineLevel="0" collapsed="false">
      <c r="A17" s="5" t="s">
        <v>136</v>
      </c>
      <c r="B17" s="5" t="s">
        <v>137</v>
      </c>
      <c r="C17" s="9" t="s">
        <v>117</v>
      </c>
      <c r="D17" s="5" t="s">
        <v>23</v>
      </c>
      <c r="E17" s="5" t="s">
        <v>24</v>
      </c>
      <c r="F17" s="5" t="s">
        <v>25</v>
      </c>
      <c r="G17" s="5" t="s">
        <v>62</v>
      </c>
      <c r="H17" s="5" t="s">
        <v>39</v>
      </c>
      <c r="I17" s="5" t="s">
        <v>129</v>
      </c>
      <c r="J17" s="5" t="s">
        <v>138</v>
      </c>
      <c r="K17" s="5" t="s">
        <v>139</v>
      </c>
      <c r="L17" s="5" t="s">
        <v>140</v>
      </c>
      <c r="M17" s="5" t="s">
        <v>141</v>
      </c>
      <c r="N17" s="5" t="s">
        <v>43</v>
      </c>
      <c r="O17" s="5"/>
      <c r="P17" s="5" t="s">
        <v>142</v>
      </c>
      <c r="Q17" s="7" t="s">
        <v>46</v>
      </c>
    </row>
    <row r="18" customFormat="false" ht="68.65" hidden="false" customHeight="false" outlineLevel="0" collapsed="false">
      <c r="A18" s="5" t="s">
        <v>143</v>
      </c>
      <c r="B18" s="5" t="s">
        <v>144</v>
      </c>
      <c r="C18" s="9" t="s">
        <v>117</v>
      </c>
      <c r="D18" s="5" t="s">
        <v>23</v>
      </c>
      <c r="E18" s="5" t="s">
        <v>24</v>
      </c>
      <c r="F18" s="5" t="s">
        <v>25</v>
      </c>
      <c r="G18" s="5" t="s">
        <v>62</v>
      </c>
      <c r="H18" s="5" t="s">
        <v>39</v>
      </c>
      <c r="I18" s="5" t="s">
        <v>129</v>
      </c>
      <c r="J18" s="5" t="s">
        <v>145</v>
      </c>
      <c r="K18" s="5" t="s">
        <v>146</v>
      </c>
      <c r="L18" s="5" t="s">
        <v>147</v>
      </c>
      <c r="M18" s="5" t="s">
        <v>141</v>
      </c>
      <c r="N18" s="5" t="s">
        <v>148</v>
      </c>
      <c r="O18" s="5"/>
      <c r="P18" s="5" t="s">
        <v>149</v>
      </c>
      <c r="Q18" s="7" t="s">
        <v>80</v>
      </c>
    </row>
    <row r="19" customFormat="false" ht="68.65" hidden="false" customHeight="false" outlineLevel="0" collapsed="false">
      <c r="A19" s="5" t="s">
        <v>150</v>
      </c>
      <c r="B19" s="5" t="s">
        <v>151</v>
      </c>
      <c r="C19" s="9" t="s">
        <v>117</v>
      </c>
      <c r="D19" s="5" t="s">
        <v>23</v>
      </c>
      <c r="E19" s="5" t="s">
        <v>24</v>
      </c>
      <c r="F19" s="5" t="s">
        <v>25</v>
      </c>
      <c r="G19" s="5" t="s">
        <v>62</v>
      </c>
      <c r="H19" s="5" t="s">
        <v>39</v>
      </c>
      <c r="I19" s="5" t="s">
        <v>129</v>
      </c>
      <c r="J19" s="5" t="s">
        <v>152</v>
      </c>
      <c r="K19" s="5" t="s">
        <v>153</v>
      </c>
      <c r="L19" s="5" t="s">
        <v>154</v>
      </c>
      <c r="M19" s="5" t="s">
        <v>141</v>
      </c>
      <c r="N19" s="5" t="s">
        <v>155</v>
      </c>
      <c r="O19" s="5" t="s">
        <v>156</v>
      </c>
      <c r="P19" s="5" t="s">
        <v>157</v>
      </c>
      <c r="Q19" s="7" t="s">
        <v>35</v>
      </c>
    </row>
    <row r="20" customFormat="false" ht="57.45" hidden="false" customHeight="false" outlineLevel="0" collapsed="false">
      <c r="A20" s="5" t="s">
        <v>158</v>
      </c>
      <c r="B20" s="5" t="s">
        <v>159</v>
      </c>
      <c r="C20" s="9" t="s">
        <v>117</v>
      </c>
      <c r="D20" s="5" t="s">
        <v>23</v>
      </c>
      <c r="E20" s="5" t="s">
        <v>24</v>
      </c>
      <c r="F20" s="5" t="s">
        <v>25</v>
      </c>
      <c r="G20" s="5" t="s">
        <v>26</v>
      </c>
      <c r="H20" s="5" t="s">
        <v>39</v>
      </c>
      <c r="I20" s="5" t="s">
        <v>28</v>
      </c>
      <c r="J20" s="5" t="s">
        <v>160</v>
      </c>
      <c r="K20" s="5" t="s">
        <v>161</v>
      </c>
      <c r="L20" s="5" t="s">
        <v>162</v>
      </c>
      <c r="M20" s="5" t="s">
        <v>163</v>
      </c>
      <c r="N20" s="5" t="s">
        <v>164</v>
      </c>
      <c r="O20" s="5"/>
      <c r="P20" s="5" t="s">
        <v>165</v>
      </c>
      <c r="Q20" s="7" t="s">
        <v>46</v>
      </c>
    </row>
    <row r="21" customFormat="false" ht="46.25" hidden="false" customHeight="false" outlineLevel="0" collapsed="false">
      <c r="A21" s="5" t="s">
        <v>166</v>
      </c>
      <c r="B21" s="5" t="s">
        <v>167</v>
      </c>
      <c r="C21" s="9" t="s">
        <v>117</v>
      </c>
      <c r="D21" s="5" t="s">
        <v>23</v>
      </c>
      <c r="E21" s="5" t="s">
        <v>24</v>
      </c>
      <c r="F21" s="5" t="s">
        <v>25</v>
      </c>
      <c r="G21" s="5" t="s">
        <v>38</v>
      </c>
      <c r="H21" s="5" t="s">
        <v>39</v>
      </c>
      <c r="I21" s="5" t="s">
        <v>168</v>
      </c>
      <c r="J21" s="5" t="s">
        <v>169</v>
      </c>
      <c r="K21" s="5" t="s">
        <v>170</v>
      </c>
      <c r="L21" s="5" t="s">
        <v>171</v>
      </c>
      <c r="M21" s="5" t="s">
        <v>112</v>
      </c>
      <c r="N21" s="5" t="s">
        <v>172</v>
      </c>
      <c r="O21" s="5" t="s">
        <v>173</v>
      </c>
      <c r="P21" s="5" t="s">
        <v>174</v>
      </c>
      <c r="Q21" s="7" t="s">
        <v>94</v>
      </c>
    </row>
    <row r="22" customFormat="false" ht="57.45" hidden="false" customHeight="false" outlineLevel="0" collapsed="false">
      <c r="A22" s="5" t="s">
        <v>175</v>
      </c>
      <c r="B22" s="5" t="s">
        <v>176</v>
      </c>
      <c r="C22" s="9" t="s">
        <v>117</v>
      </c>
      <c r="D22" s="5" t="s">
        <v>84</v>
      </c>
      <c r="E22" s="5" t="s">
        <v>24</v>
      </c>
      <c r="F22" s="5" t="s">
        <v>25</v>
      </c>
      <c r="G22" s="5" t="s">
        <v>26</v>
      </c>
      <c r="H22" s="5" t="s">
        <v>39</v>
      </c>
      <c r="I22" s="5" t="s">
        <v>177</v>
      </c>
      <c r="J22" s="5" t="s">
        <v>178</v>
      </c>
      <c r="K22" s="5" t="s">
        <v>179</v>
      </c>
      <c r="L22" s="5" t="s">
        <v>180</v>
      </c>
      <c r="M22" s="5" t="s">
        <v>181</v>
      </c>
      <c r="N22" s="5" t="s">
        <v>182</v>
      </c>
      <c r="O22" s="5" t="s">
        <v>183</v>
      </c>
      <c r="P22" s="5" t="s">
        <v>184</v>
      </c>
      <c r="Q22" s="7" t="s">
        <v>94</v>
      </c>
    </row>
    <row r="23" customFormat="false" ht="57.45" hidden="false" customHeight="false" outlineLevel="0" collapsed="false">
      <c r="A23" s="5" t="s">
        <v>185</v>
      </c>
      <c r="B23" s="5" t="s">
        <v>186</v>
      </c>
      <c r="C23" s="9" t="s">
        <v>117</v>
      </c>
      <c r="D23" s="5" t="s">
        <v>71</v>
      </c>
      <c r="E23" s="5" t="s">
        <v>24</v>
      </c>
      <c r="F23" s="5" t="s">
        <v>25</v>
      </c>
      <c r="G23" s="5" t="s">
        <v>38</v>
      </c>
      <c r="H23" s="5" t="s">
        <v>187</v>
      </c>
      <c r="I23" s="5" t="s">
        <v>28</v>
      </c>
      <c r="J23" s="5" t="s">
        <v>188</v>
      </c>
      <c r="K23" s="5" t="s">
        <v>189</v>
      </c>
      <c r="L23" s="5" t="s">
        <v>190</v>
      </c>
      <c r="M23" s="5" t="s">
        <v>191</v>
      </c>
      <c r="N23" s="5" t="s">
        <v>192</v>
      </c>
      <c r="O23" s="5" t="s">
        <v>193</v>
      </c>
      <c r="P23" s="5" t="s">
        <v>79</v>
      </c>
      <c r="Q23" s="7" t="s">
        <v>80</v>
      </c>
    </row>
    <row r="24" customFormat="false" ht="68.65" hidden="false" customHeight="false" outlineLevel="0" collapsed="false">
      <c r="A24" s="5" t="s">
        <v>194</v>
      </c>
      <c r="B24" s="5" t="s">
        <v>195</v>
      </c>
      <c r="C24" s="9" t="s">
        <v>117</v>
      </c>
      <c r="D24" s="5" t="s">
        <v>23</v>
      </c>
      <c r="E24" s="5" t="s">
        <v>24</v>
      </c>
      <c r="F24" s="5" t="s">
        <v>25</v>
      </c>
      <c r="G24" s="5" t="s">
        <v>62</v>
      </c>
      <c r="H24" s="5" t="s">
        <v>63</v>
      </c>
      <c r="I24" s="5" t="s">
        <v>64</v>
      </c>
      <c r="J24" s="5" t="s">
        <v>196</v>
      </c>
      <c r="K24" s="5" t="s">
        <v>34</v>
      </c>
      <c r="L24" s="5" t="s">
        <v>197</v>
      </c>
      <c r="M24" s="5" t="s">
        <v>67</v>
      </c>
      <c r="N24" s="5" t="s">
        <v>198</v>
      </c>
      <c r="O24" s="5" t="s">
        <v>199</v>
      </c>
      <c r="P24" s="5" t="s">
        <v>34</v>
      </c>
      <c r="Q24" s="7" t="s">
        <v>35</v>
      </c>
    </row>
    <row r="25" customFormat="false" ht="57.45" hidden="false" customHeight="false" outlineLevel="0" collapsed="false">
      <c r="A25" s="5" t="s">
        <v>200</v>
      </c>
      <c r="B25" s="5" t="s">
        <v>201</v>
      </c>
      <c r="C25" s="6" t="s">
        <v>22</v>
      </c>
      <c r="D25" s="5" t="s">
        <v>202</v>
      </c>
      <c r="E25" s="5" t="s">
        <v>203</v>
      </c>
      <c r="F25" s="5" t="s">
        <v>204</v>
      </c>
      <c r="G25" s="5" t="s">
        <v>38</v>
      </c>
      <c r="H25" s="5" t="s">
        <v>63</v>
      </c>
      <c r="I25" s="5" t="s">
        <v>205</v>
      </c>
      <c r="J25" s="5" t="s">
        <v>206</v>
      </c>
      <c r="K25" s="5" t="s">
        <v>34</v>
      </c>
      <c r="L25" s="5" t="s">
        <v>207</v>
      </c>
      <c r="M25" s="5" t="s">
        <v>208</v>
      </c>
      <c r="N25" s="5" t="s">
        <v>209</v>
      </c>
      <c r="O25" s="5"/>
      <c r="P25" s="5" t="s">
        <v>34</v>
      </c>
      <c r="Q25" s="7" t="s">
        <v>94</v>
      </c>
    </row>
    <row r="26" customFormat="false" ht="68.65" hidden="false" customHeight="false" outlineLevel="0" collapsed="false">
      <c r="A26" s="5" t="s">
        <v>210</v>
      </c>
      <c r="B26" s="5" t="s">
        <v>211</v>
      </c>
      <c r="C26" s="6" t="s">
        <v>22</v>
      </c>
      <c r="D26" s="5" t="s">
        <v>202</v>
      </c>
      <c r="E26" s="5" t="s">
        <v>203</v>
      </c>
      <c r="F26" s="5" t="s">
        <v>204</v>
      </c>
      <c r="G26" s="5" t="s">
        <v>62</v>
      </c>
      <c r="H26" s="5" t="s">
        <v>63</v>
      </c>
      <c r="I26" s="5" t="s">
        <v>212</v>
      </c>
      <c r="J26" s="5" t="s">
        <v>213</v>
      </c>
      <c r="K26" s="5" t="s">
        <v>34</v>
      </c>
      <c r="L26" s="5" t="s">
        <v>214</v>
      </c>
      <c r="M26" s="5" t="s">
        <v>215</v>
      </c>
      <c r="N26" s="5" t="s">
        <v>209</v>
      </c>
      <c r="O26" s="5"/>
      <c r="P26" s="5" t="s">
        <v>34</v>
      </c>
      <c r="Q26" s="7" t="s">
        <v>94</v>
      </c>
    </row>
    <row r="27" customFormat="false" ht="57.45" hidden="false" customHeight="false" outlineLevel="0" collapsed="false">
      <c r="A27" s="5" t="s">
        <v>216</v>
      </c>
      <c r="B27" s="5" t="s">
        <v>217</v>
      </c>
      <c r="C27" s="6" t="s">
        <v>22</v>
      </c>
      <c r="D27" s="5" t="s">
        <v>202</v>
      </c>
      <c r="E27" s="5" t="s">
        <v>203</v>
      </c>
      <c r="F27" s="5" t="s">
        <v>204</v>
      </c>
      <c r="G27" s="5" t="s">
        <v>38</v>
      </c>
      <c r="H27" s="5" t="s">
        <v>39</v>
      </c>
      <c r="I27" s="5" t="s">
        <v>205</v>
      </c>
      <c r="J27" s="5" t="s">
        <v>218</v>
      </c>
      <c r="K27" s="5" t="s">
        <v>219</v>
      </c>
      <c r="L27" s="5" t="s">
        <v>220</v>
      </c>
      <c r="M27" s="5" t="s">
        <v>221</v>
      </c>
      <c r="N27" s="5" t="s">
        <v>209</v>
      </c>
      <c r="O27" s="5"/>
      <c r="P27" s="5" t="s">
        <v>34</v>
      </c>
      <c r="Q27" s="7" t="s">
        <v>94</v>
      </c>
    </row>
    <row r="28" customFormat="false" ht="68.65" hidden="false" customHeight="false" outlineLevel="0" collapsed="false">
      <c r="A28" s="5" t="s">
        <v>222</v>
      </c>
      <c r="B28" s="5" t="s">
        <v>223</v>
      </c>
      <c r="C28" s="6" t="s">
        <v>22</v>
      </c>
      <c r="D28" s="5" t="s">
        <v>202</v>
      </c>
      <c r="E28" s="5" t="s">
        <v>203</v>
      </c>
      <c r="F28" s="5" t="s">
        <v>204</v>
      </c>
      <c r="G28" s="5" t="s">
        <v>26</v>
      </c>
      <c r="H28" s="5" t="s">
        <v>72</v>
      </c>
      <c r="I28" s="5" t="s">
        <v>224</v>
      </c>
      <c r="J28" s="5" t="s">
        <v>225</v>
      </c>
      <c r="K28" s="5" t="s">
        <v>226</v>
      </c>
      <c r="L28" s="5" t="s">
        <v>227</v>
      </c>
      <c r="M28" s="5" t="s">
        <v>228</v>
      </c>
      <c r="N28" s="5" t="s">
        <v>209</v>
      </c>
      <c r="O28" s="5"/>
      <c r="P28" s="5" t="s">
        <v>79</v>
      </c>
      <c r="Q28" s="7" t="s">
        <v>94</v>
      </c>
    </row>
    <row r="29" customFormat="false" ht="68.65" hidden="false" customHeight="false" outlineLevel="0" collapsed="false">
      <c r="A29" s="5" t="s">
        <v>229</v>
      </c>
      <c r="B29" s="5" t="s">
        <v>230</v>
      </c>
      <c r="C29" s="6" t="s">
        <v>22</v>
      </c>
      <c r="D29" s="5" t="s">
        <v>202</v>
      </c>
      <c r="E29" s="5" t="s">
        <v>203</v>
      </c>
      <c r="F29" s="5" t="s">
        <v>204</v>
      </c>
      <c r="G29" s="5" t="s">
        <v>38</v>
      </c>
      <c r="H29" s="5" t="s">
        <v>39</v>
      </c>
      <c r="I29" s="5" t="s">
        <v>231</v>
      </c>
      <c r="J29" s="5" t="s">
        <v>232</v>
      </c>
      <c r="K29" s="5" t="s">
        <v>233</v>
      </c>
      <c r="L29" s="5" t="s">
        <v>234</v>
      </c>
      <c r="M29" s="5" t="s">
        <v>235</v>
      </c>
      <c r="N29" s="5" t="s">
        <v>209</v>
      </c>
      <c r="O29" s="5"/>
      <c r="P29" s="5" t="s">
        <v>236</v>
      </c>
      <c r="Q29" s="7" t="s">
        <v>94</v>
      </c>
    </row>
    <row r="30" customFormat="false" ht="68.65" hidden="false" customHeight="false" outlineLevel="0" collapsed="false">
      <c r="A30" s="5" t="s">
        <v>237</v>
      </c>
      <c r="B30" s="5" t="s">
        <v>238</v>
      </c>
      <c r="C30" s="6" t="s">
        <v>22</v>
      </c>
      <c r="D30" s="5" t="s">
        <v>202</v>
      </c>
      <c r="E30" s="5" t="s">
        <v>203</v>
      </c>
      <c r="F30" s="5" t="s">
        <v>204</v>
      </c>
      <c r="G30" s="5" t="s">
        <v>38</v>
      </c>
      <c r="H30" s="5" t="s">
        <v>39</v>
      </c>
      <c r="I30" s="5" t="s">
        <v>239</v>
      </c>
      <c r="J30" s="5" t="s">
        <v>240</v>
      </c>
      <c r="K30" s="5" t="s">
        <v>241</v>
      </c>
      <c r="L30" s="5" t="s">
        <v>242</v>
      </c>
      <c r="M30" s="5" t="s">
        <v>243</v>
      </c>
      <c r="N30" s="5" t="s">
        <v>209</v>
      </c>
      <c r="O30" s="5"/>
      <c r="P30" s="5" t="s">
        <v>34</v>
      </c>
      <c r="Q30" s="7" t="s">
        <v>94</v>
      </c>
    </row>
    <row r="31" customFormat="false" ht="68.65" hidden="false" customHeight="false" outlineLevel="0" collapsed="false">
      <c r="A31" s="5" t="s">
        <v>244</v>
      </c>
      <c r="B31" s="5" t="s">
        <v>245</v>
      </c>
      <c r="C31" s="6" t="s">
        <v>22</v>
      </c>
      <c r="D31" s="5" t="s">
        <v>246</v>
      </c>
      <c r="E31" s="5" t="s">
        <v>203</v>
      </c>
      <c r="F31" s="5" t="s">
        <v>204</v>
      </c>
      <c r="G31" s="5" t="s">
        <v>26</v>
      </c>
      <c r="H31" s="5" t="s">
        <v>39</v>
      </c>
      <c r="I31" s="5" t="s">
        <v>247</v>
      </c>
      <c r="J31" s="5" t="s">
        <v>248</v>
      </c>
      <c r="K31" s="5" t="s">
        <v>249</v>
      </c>
      <c r="L31" s="5" t="s">
        <v>250</v>
      </c>
      <c r="M31" s="5" t="s">
        <v>251</v>
      </c>
      <c r="N31" s="5" t="s">
        <v>209</v>
      </c>
      <c r="O31" s="5" t="s">
        <v>252</v>
      </c>
      <c r="P31" s="5" t="s">
        <v>253</v>
      </c>
      <c r="Q31" s="7" t="s">
        <v>94</v>
      </c>
    </row>
    <row r="32" customFormat="false" ht="46.25" hidden="false" customHeight="false" outlineLevel="0" collapsed="false">
      <c r="A32" s="5" t="s">
        <v>254</v>
      </c>
      <c r="B32" s="5" t="s">
        <v>255</v>
      </c>
      <c r="C32" s="6" t="s">
        <v>22</v>
      </c>
      <c r="D32" s="5" t="s">
        <v>256</v>
      </c>
      <c r="E32" s="5" t="s">
        <v>203</v>
      </c>
      <c r="F32" s="5" t="s">
        <v>204</v>
      </c>
      <c r="G32" s="5" t="s">
        <v>26</v>
      </c>
      <c r="H32" s="5" t="s">
        <v>39</v>
      </c>
      <c r="I32" s="5" t="s">
        <v>257</v>
      </c>
      <c r="J32" s="5" t="s">
        <v>258</v>
      </c>
      <c r="K32" s="5" t="s">
        <v>259</v>
      </c>
      <c r="L32" s="5" t="s">
        <v>260</v>
      </c>
      <c r="M32" s="5" t="s">
        <v>261</v>
      </c>
      <c r="N32" s="5" t="s">
        <v>209</v>
      </c>
      <c r="O32" s="5"/>
      <c r="P32" s="5" t="s">
        <v>262</v>
      </c>
      <c r="Q32" s="7" t="s">
        <v>94</v>
      </c>
    </row>
    <row r="33" customFormat="false" ht="68.65" hidden="false" customHeight="false" outlineLevel="0" collapsed="false">
      <c r="A33" s="5" t="s">
        <v>263</v>
      </c>
      <c r="B33" s="5" t="s">
        <v>264</v>
      </c>
      <c r="C33" s="6" t="s">
        <v>22</v>
      </c>
      <c r="D33" s="5" t="s">
        <v>256</v>
      </c>
      <c r="E33" s="5" t="s">
        <v>203</v>
      </c>
      <c r="F33" s="5" t="s">
        <v>204</v>
      </c>
      <c r="G33" s="5" t="s">
        <v>26</v>
      </c>
      <c r="H33" s="5" t="s">
        <v>72</v>
      </c>
      <c r="I33" s="5" t="s">
        <v>265</v>
      </c>
      <c r="J33" s="5" t="s">
        <v>266</v>
      </c>
      <c r="K33" s="5" t="s">
        <v>267</v>
      </c>
      <c r="L33" s="5" t="s">
        <v>268</v>
      </c>
      <c r="M33" s="5" t="s">
        <v>269</v>
      </c>
      <c r="N33" s="5" t="s">
        <v>209</v>
      </c>
      <c r="O33" s="5"/>
      <c r="P33" s="5" t="s">
        <v>270</v>
      </c>
      <c r="Q33" s="7" t="s">
        <v>94</v>
      </c>
    </row>
    <row r="34" customFormat="false" ht="102.2" hidden="false" customHeight="false" outlineLevel="0" collapsed="false">
      <c r="A34" s="5" t="s">
        <v>271</v>
      </c>
      <c r="B34" s="5" t="s">
        <v>272</v>
      </c>
      <c r="C34" s="8" t="s">
        <v>83</v>
      </c>
      <c r="D34" s="5" t="s">
        <v>246</v>
      </c>
      <c r="E34" s="5" t="s">
        <v>203</v>
      </c>
      <c r="F34" s="5" t="s">
        <v>204</v>
      </c>
      <c r="G34" s="5" t="s">
        <v>26</v>
      </c>
      <c r="H34" s="5" t="s">
        <v>119</v>
      </c>
      <c r="I34" s="5" t="s">
        <v>273</v>
      </c>
      <c r="J34" s="5" t="s">
        <v>274</v>
      </c>
      <c r="K34" s="5" t="s">
        <v>275</v>
      </c>
      <c r="L34" s="5" t="s">
        <v>276</v>
      </c>
      <c r="M34" s="5" t="s">
        <v>277</v>
      </c>
      <c r="N34" s="5" t="s">
        <v>209</v>
      </c>
      <c r="O34" s="5" t="s">
        <v>278</v>
      </c>
      <c r="P34" s="5" t="s">
        <v>34</v>
      </c>
      <c r="Q34" s="7" t="s">
        <v>94</v>
      </c>
    </row>
    <row r="35" customFormat="false" ht="91" hidden="false" customHeight="false" outlineLevel="0" collapsed="false">
      <c r="A35" s="5" t="s">
        <v>279</v>
      </c>
      <c r="B35" s="5" t="s">
        <v>280</v>
      </c>
      <c r="C35" s="9" t="s">
        <v>117</v>
      </c>
      <c r="D35" s="5" t="s">
        <v>246</v>
      </c>
      <c r="E35" s="5" t="s">
        <v>203</v>
      </c>
      <c r="F35" s="5" t="s">
        <v>204</v>
      </c>
      <c r="G35" s="5" t="s">
        <v>26</v>
      </c>
      <c r="H35" s="5" t="s">
        <v>119</v>
      </c>
      <c r="I35" s="5" t="s">
        <v>273</v>
      </c>
      <c r="J35" s="5" t="s">
        <v>281</v>
      </c>
      <c r="K35" s="5" t="s">
        <v>282</v>
      </c>
      <c r="L35" s="5" t="s">
        <v>283</v>
      </c>
      <c r="M35" s="5" t="s">
        <v>277</v>
      </c>
      <c r="N35" s="5" t="s">
        <v>209</v>
      </c>
      <c r="O35" s="5" t="s">
        <v>284</v>
      </c>
      <c r="P35" s="5" t="s">
        <v>34</v>
      </c>
      <c r="Q35" s="7" t="s">
        <v>94</v>
      </c>
    </row>
    <row r="36" customFormat="false" ht="102.2" hidden="false" customHeight="false" outlineLevel="0" collapsed="false">
      <c r="A36" s="5" t="s">
        <v>285</v>
      </c>
      <c r="B36" s="5" t="s">
        <v>286</v>
      </c>
      <c r="C36" s="9" t="s">
        <v>117</v>
      </c>
      <c r="D36" s="5" t="s">
        <v>246</v>
      </c>
      <c r="E36" s="5" t="s">
        <v>203</v>
      </c>
      <c r="F36" s="5" t="s">
        <v>204</v>
      </c>
      <c r="G36" s="5" t="s">
        <v>38</v>
      </c>
      <c r="H36" s="5" t="s">
        <v>39</v>
      </c>
      <c r="I36" s="5" t="s">
        <v>287</v>
      </c>
      <c r="J36" s="5" t="s">
        <v>288</v>
      </c>
      <c r="K36" s="5" t="s">
        <v>289</v>
      </c>
      <c r="L36" s="5" t="s">
        <v>290</v>
      </c>
      <c r="M36" s="5" t="s">
        <v>277</v>
      </c>
      <c r="N36" s="5" t="s">
        <v>209</v>
      </c>
      <c r="O36" s="5"/>
      <c r="P36" s="5" t="s">
        <v>34</v>
      </c>
      <c r="Q36" s="7" t="s">
        <v>94</v>
      </c>
    </row>
    <row r="37" customFormat="false" ht="113.4" hidden="false" customHeight="false" outlineLevel="0" collapsed="false">
      <c r="A37" s="5" t="s">
        <v>291</v>
      </c>
      <c r="B37" s="5" t="s">
        <v>292</v>
      </c>
      <c r="C37" s="9" t="s">
        <v>117</v>
      </c>
      <c r="D37" s="5" t="s">
        <v>246</v>
      </c>
      <c r="E37" s="5" t="s">
        <v>203</v>
      </c>
      <c r="F37" s="5" t="s">
        <v>204</v>
      </c>
      <c r="G37" s="5" t="s">
        <v>38</v>
      </c>
      <c r="H37" s="5" t="s">
        <v>39</v>
      </c>
      <c r="I37" s="5" t="s">
        <v>293</v>
      </c>
      <c r="J37" s="5" t="s">
        <v>294</v>
      </c>
      <c r="K37" s="5" t="s">
        <v>295</v>
      </c>
      <c r="L37" s="5" t="s">
        <v>296</v>
      </c>
      <c r="M37" s="5" t="s">
        <v>277</v>
      </c>
      <c r="N37" s="5" t="s">
        <v>209</v>
      </c>
      <c r="O37" s="5"/>
      <c r="P37" s="5" t="s">
        <v>34</v>
      </c>
      <c r="Q37" s="7" t="s">
        <v>94</v>
      </c>
    </row>
    <row r="38" customFormat="false" ht="79.85" hidden="false" customHeight="false" outlineLevel="0" collapsed="false">
      <c r="A38" s="5" t="s">
        <v>297</v>
      </c>
      <c r="B38" s="5" t="s">
        <v>298</v>
      </c>
      <c r="C38" s="6" t="s">
        <v>22</v>
      </c>
      <c r="D38" s="5" t="s">
        <v>256</v>
      </c>
      <c r="E38" s="5" t="s">
        <v>203</v>
      </c>
      <c r="F38" s="5" t="s">
        <v>204</v>
      </c>
      <c r="G38" s="5" t="s">
        <v>26</v>
      </c>
      <c r="H38" s="5" t="s">
        <v>55</v>
      </c>
      <c r="I38" s="5" t="s">
        <v>299</v>
      </c>
      <c r="J38" s="5" t="s">
        <v>300</v>
      </c>
      <c r="K38" s="5" t="s">
        <v>301</v>
      </c>
      <c r="L38" s="5" t="s">
        <v>302</v>
      </c>
      <c r="M38" s="5" t="s">
        <v>303</v>
      </c>
      <c r="N38" s="5" t="s">
        <v>209</v>
      </c>
      <c r="O38" s="5"/>
      <c r="P38" s="5" t="s">
        <v>304</v>
      </c>
      <c r="Q38" s="7" t="s">
        <v>94</v>
      </c>
    </row>
    <row r="39" customFormat="false" ht="57.45" hidden="false" customHeight="false" outlineLevel="0" collapsed="false">
      <c r="A39" s="5" t="s">
        <v>305</v>
      </c>
      <c r="B39" s="5" t="s">
        <v>306</v>
      </c>
      <c r="C39" s="6" t="s">
        <v>22</v>
      </c>
      <c r="D39" s="5" t="s">
        <v>307</v>
      </c>
      <c r="E39" s="5" t="s">
        <v>203</v>
      </c>
      <c r="F39" s="5" t="s">
        <v>204</v>
      </c>
      <c r="G39" s="5" t="s">
        <v>38</v>
      </c>
      <c r="H39" s="5" t="s">
        <v>39</v>
      </c>
      <c r="I39" s="5" t="s">
        <v>257</v>
      </c>
      <c r="J39" s="5" t="s">
        <v>308</v>
      </c>
      <c r="K39" s="5" t="s">
        <v>34</v>
      </c>
      <c r="L39" s="5" t="s">
        <v>309</v>
      </c>
      <c r="M39" s="5" t="s">
        <v>310</v>
      </c>
      <c r="N39" s="5" t="s">
        <v>209</v>
      </c>
      <c r="O39" s="5"/>
      <c r="P39" s="5" t="s">
        <v>311</v>
      </c>
      <c r="Q39" s="7" t="s">
        <v>94</v>
      </c>
    </row>
    <row r="40" customFormat="false" ht="68.65" hidden="false" customHeight="false" outlineLevel="0" collapsed="false">
      <c r="A40" s="5" t="s">
        <v>312</v>
      </c>
      <c r="B40" s="5" t="s">
        <v>313</v>
      </c>
      <c r="C40" s="6" t="s">
        <v>22</v>
      </c>
      <c r="D40" s="5" t="s">
        <v>307</v>
      </c>
      <c r="E40" s="5" t="s">
        <v>203</v>
      </c>
      <c r="F40" s="5" t="s">
        <v>204</v>
      </c>
      <c r="G40" s="5" t="s">
        <v>38</v>
      </c>
      <c r="H40" s="5" t="s">
        <v>72</v>
      </c>
      <c r="I40" s="5" t="s">
        <v>314</v>
      </c>
      <c r="J40" s="5" t="s">
        <v>315</v>
      </c>
      <c r="K40" s="5" t="s">
        <v>316</v>
      </c>
      <c r="L40" s="5" t="s">
        <v>317</v>
      </c>
      <c r="M40" s="5" t="s">
        <v>318</v>
      </c>
      <c r="N40" s="5" t="s">
        <v>209</v>
      </c>
      <c r="O40" s="5"/>
      <c r="P40" s="5" t="s">
        <v>114</v>
      </c>
      <c r="Q40" s="7" t="s">
        <v>94</v>
      </c>
    </row>
    <row r="41" customFormat="false" ht="57.45" hidden="false" customHeight="false" outlineLevel="0" collapsed="false">
      <c r="A41" s="5" t="s">
        <v>319</v>
      </c>
      <c r="B41" s="5" t="s">
        <v>320</v>
      </c>
      <c r="C41" s="6" t="s">
        <v>22</v>
      </c>
      <c r="D41" s="5" t="s">
        <v>307</v>
      </c>
      <c r="E41" s="5" t="s">
        <v>203</v>
      </c>
      <c r="F41" s="5" t="s">
        <v>204</v>
      </c>
      <c r="G41" s="5" t="s">
        <v>38</v>
      </c>
      <c r="H41" s="5" t="s">
        <v>39</v>
      </c>
      <c r="I41" s="5" t="s">
        <v>257</v>
      </c>
      <c r="J41" s="5" t="s">
        <v>321</v>
      </c>
      <c r="K41" s="5" t="s">
        <v>34</v>
      </c>
      <c r="L41" s="5" t="s">
        <v>322</v>
      </c>
      <c r="M41" s="5" t="s">
        <v>323</v>
      </c>
      <c r="N41" s="5" t="s">
        <v>209</v>
      </c>
      <c r="O41" s="5"/>
      <c r="P41" s="5" t="s">
        <v>324</v>
      </c>
      <c r="Q41" s="7" t="s">
        <v>94</v>
      </c>
    </row>
  </sheetData>
  <autoFilter ref="A5:Q41"/>
  <dataValidations count="1">
    <dataValidation allowBlank="true" errorStyle="stop" operator="between" showDropDown="false" showErrorMessage="false" showInputMessage="false" sqref="Q6:Q41" type="list">
      <formula1>"Pass,Fail,Blocked,Not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0"/>
  </cols>
  <sheetData>
    <row r="1" customFormat="false" ht="16.15" hidden="false" customHeight="false" outlineLevel="0" collapsed="false">
      <c r="A1" s="1" t="s">
        <v>325</v>
      </c>
    </row>
    <row r="3" customFormat="false" ht="15" hidden="false" customHeight="false" outlineLevel="0" collapsed="false">
      <c r="A3" s="10" t="s">
        <v>326</v>
      </c>
      <c r="B3" s="10" t="s">
        <v>327</v>
      </c>
    </row>
    <row r="4" customFormat="false" ht="15" hidden="false" customHeight="false" outlineLevel="0" collapsed="false">
      <c r="A4" s="11" t="s">
        <v>117</v>
      </c>
      <c r="B4" s="11" t="n">
        <f aca="false">COUNTIF('Test Cases'!$C$6:$C$41,"New")</f>
        <v>13</v>
      </c>
    </row>
    <row r="5" customFormat="false" ht="15" hidden="false" customHeight="false" outlineLevel="0" collapsed="false">
      <c r="A5" s="11" t="s">
        <v>83</v>
      </c>
      <c r="B5" s="11" t="n">
        <f aca="false">COUNTIF('Test Cases'!$C$6:$C$41,"Updated")</f>
        <v>2</v>
      </c>
    </row>
    <row r="6" customFormat="false" ht="15" hidden="false" customHeight="false" outlineLevel="0" collapsed="false">
      <c r="A6" s="11" t="s">
        <v>22</v>
      </c>
      <c r="B6" s="11" t="n">
        <f aca="false">COUNTIF('Test Cases'!$C$6:$C$41,"Existing")</f>
        <v>21</v>
      </c>
    </row>
    <row r="7" customFormat="false" ht="15" hidden="false" customHeight="false" outlineLevel="0" collapsed="false">
      <c r="A7" s="10" t="s">
        <v>328</v>
      </c>
      <c r="B7" s="10" t="n">
        <f aca="false">SUM(B4:B6)</f>
        <v>36</v>
      </c>
    </row>
    <row r="9" customFormat="false" ht="15" hidden="false" customHeight="false" outlineLevel="0" collapsed="false">
      <c r="A9" s="10" t="s">
        <v>329</v>
      </c>
      <c r="B9" s="10" t="s">
        <v>327</v>
      </c>
    </row>
    <row r="10" customFormat="false" ht="15" hidden="false" customHeight="false" outlineLevel="0" collapsed="false">
      <c r="A10" s="11" t="s">
        <v>25</v>
      </c>
      <c r="B10" s="11" t="n">
        <f aca="false">COUNTIF('Test Cases'!$F$6:$F$41,"Web")</f>
        <v>18</v>
      </c>
    </row>
    <row r="11" customFormat="false" ht="15" hidden="false" customHeight="false" outlineLevel="0" collapsed="false">
      <c r="A11" s="11" t="s">
        <v>204</v>
      </c>
      <c r="B11" s="11" t="n">
        <f aca="false">COUNTIF('Test Cases'!$F$6:$F$41,"Mobile")</f>
        <v>17</v>
      </c>
    </row>
    <row r="12" customFormat="false" ht="15" hidden="false" customHeight="false" outlineLevel="0" collapsed="false">
      <c r="A12" s="11" t="s">
        <v>97</v>
      </c>
      <c r="B12" s="11" t="n">
        <f aca="false">COUNTIF('Test Cases'!$F$6:$F$41,"Web / D365")</f>
        <v>1</v>
      </c>
    </row>
    <row r="13" customFormat="false" ht="15" hidden="false" customHeight="false" outlineLevel="0" collapsed="false">
      <c r="A13" s="10" t="s">
        <v>328</v>
      </c>
      <c r="B13" s="10" t="n">
        <f aca="false">SUM(B10:B12)</f>
        <v>36</v>
      </c>
    </row>
    <row r="15" customFormat="false" ht="15" hidden="false" customHeight="false" outlineLevel="0" collapsed="false">
      <c r="A15" s="10" t="s">
        <v>330</v>
      </c>
      <c r="B15" s="10" t="s">
        <v>327</v>
      </c>
    </row>
    <row r="16" customFormat="false" ht="15" hidden="false" customHeight="false" outlineLevel="0" collapsed="false">
      <c r="A16" s="11" t="s">
        <v>26</v>
      </c>
      <c r="B16" s="11" t="n">
        <f aca="false">COUNTIF('Test Cases'!$G$6:$G$41,"P1")</f>
        <v>13</v>
      </c>
    </row>
    <row r="17" customFormat="false" ht="15" hidden="false" customHeight="false" outlineLevel="0" collapsed="false">
      <c r="A17" s="11" t="s">
        <v>38</v>
      </c>
      <c r="B17" s="11" t="n">
        <f aca="false">COUNTIF('Test Cases'!$G$6:$G$41,"P2")</f>
        <v>17</v>
      </c>
    </row>
    <row r="18" customFormat="false" ht="15" hidden="false" customHeight="false" outlineLevel="0" collapsed="false">
      <c r="A18" s="11" t="s">
        <v>62</v>
      </c>
      <c r="B18" s="11" t="n">
        <f aca="false">COUNTIF('Test Cases'!$G$6:$G$41,"P3")</f>
        <v>6</v>
      </c>
    </row>
    <row r="19" customFormat="false" ht="15" hidden="false" customHeight="false" outlineLevel="0" collapsed="false">
      <c r="A19" s="10" t="s">
        <v>328</v>
      </c>
      <c r="B19" s="10" t="n">
        <f aca="false">SUM(B16:B18)</f>
        <v>36</v>
      </c>
    </row>
    <row r="21" customFormat="false" ht="15" hidden="false" customHeight="false" outlineLevel="0" collapsed="false">
      <c r="A21" s="10" t="s">
        <v>331</v>
      </c>
      <c r="B21" s="10" t="s">
        <v>327</v>
      </c>
    </row>
    <row r="22" customFormat="false" ht="15" hidden="false" customHeight="false" outlineLevel="0" collapsed="false">
      <c r="A22" s="11" t="s">
        <v>46</v>
      </c>
      <c r="B22" s="11" t="n">
        <f aca="false">COUNTIF('Test Cases'!$Q$6:$Q$41,"Pass")</f>
        <v>6</v>
      </c>
    </row>
    <row r="23" customFormat="false" ht="15" hidden="false" customHeight="false" outlineLevel="0" collapsed="false">
      <c r="A23" s="11" t="s">
        <v>35</v>
      </c>
      <c r="B23" s="11" t="n">
        <f aca="false">COUNTIF('Test Cases'!$Q$6:$Q$41,"Fail")</f>
        <v>3</v>
      </c>
    </row>
    <row r="24" customFormat="false" ht="15" hidden="false" customHeight="false" outlineLevel="0" collapsed="false">
      <c r="A24" s="11" t="s">
        <v>80</v>
      </c>
      <c r="B24" s="11" t="n">
        <f aca="false">COUNTIF('Test Cases'!$Q$6:$Q$41,"Blocked")</f>
        <v>4</v>
      </c>
    </row>
    <row r="25" customFormat="false" ht="15" hidden="false" customHeight="false" outlineLevel="0" collapsed="false">
      <c r="A25" s="11" t="s">
        <v>94</v>
      </c>
      <c r="B25" s="11" t="n">
        <f aca="false">COUNTIF('Test Cases'!$Q$6:$Q$41,"Not Run")</f>
        <v>23</v>
      </c>
    </row>
    <row r="26" customFormat="false" ht="15" hidden="false" customHeight="false" outlineLevel="0" collapsed="false">
      <c r="A26" s="10" t="s">
        <v>328</v>
      </c>
      <c r="B26" s="10" t="n">
        <f aca="false">SUM(B22:B25)</f>
        <v>36</v>
      </c>
    </row>
    <row r="28" customFormat="false" ht="15" hidden="false" customHeight="false" outlineLevel="0" collapsed="false">
      <c r="A28" s="12"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50"/>
    <col collapsed="false" customWidth="true" hidden="false" outlineLevel="0" max="4" min="4" style="0" width="18"/>
    <col collapsed="false" customWidth="true" hidden="false" outlineLevel="0" max="5" min="5" style="0" width="11"/>
    <col collapsed="false" customWidth="true" hidden="false" outlineLevel="0" max="6" min="6" style="0" width="60"/>
  </cols>
  <sheetData>
    <row r="1" customFormat="false" ht="15" hidden="false" customHeight="false" outlineLevel="0" collapsed="false">
      <c r="A1" s="13" t="s">
        <v>333</v>
      </c>
    </row>
    <row r="2" customFormat="false" ht="15" hidden="false" customHeight="false" outlineLevel="0" collapsed="false">
      <c r="A2" s="2" t="s">
        <v>334</v>
      </c>
    </row>
    <row r="4" customFormat="false" ht="15" hidden="false" customHeight="false" outlineLevel="0" collapsed="false">
      <c r="A4" s="14" t="s">
        <v>335</v>
      </c>
      <c r="B4" s="14" t="s">
        <v>336</v>
      </c>
      <c r="C4" s="14" t="s">
        <v>337</v>
      </c>
      <c r="D4" s="14" t="s">
        <v>338</v>
      </c>
      <c r="E4" s="14" t="s">
        <v>339</v>
      </c>
      <c r="F4" s="14" t="s">
        <v>340</v>
      </c>
    </row>
    <row r="5" customFormat="false" ht="15" hidden="false" customHeight="false" outlineLevel="0" collapsed="false">
      <c r="A5" s="5" t="s">
        <v>45</v>
      </c>
      <c r="B5" s="5" t="s">
        <v>341</v>
      </c>
      <c r="C5" s="5" t="s">
        <v>342</v>
      </c>
      <c r="D5" s="5" t="s">
        <v>36</v>
      </c>
      <c r="E5" s="6" t="s">
        <v>343</v>
      </c>
      <c r="F5" s="5"/>
    </row>
    <row r="6" customFormat="false" ht="23.85" hidden="false" customHeight="false" outlineLevel="0" collapsed="false">
      <c r="A6" s="5" t="s">
        <v>344</v>
      </c>
      <c r="B6" s="5" t="s">
        <v>341</v>
      </c>
      <c r="C6" s="5" t="s">
        <v>345</v>
      </c>
      <c r="D6" s="5" t="s">
        <v>47</v>
      </c>
      <c r="E6" s="6" t="s">
        <v>343</v>
      </c>
      <c r="F6" s="5"/>
    </row>
    <row r="7" customFormat="false" ht="23.85" hidden="false" customHeight="false" outlineLevel="0" collapsed="false">
      <c r="A7" s="5" t="s">
        <v>346</v>
      </c>
      <c r="B7" s="5" t="s">
        <v>341</v>
      </c>
      <c r="C7" s="5" t="s">
        <v>347</v>
      </c>
      <c r="D7" s="5" t="s">
        <v>348</v>
      </c>
      <c r="E7" s="6" t="s">
        <v>343</v>
      </c>
      <c r="F7" s="5" t="s">
        <v>349</v>
      </c>
    </row>
    <row r="8" customFormat="false" ht="15" hidden="false" customHeight="false" outlineLevel="0" collapsed="false">
      <c r="A8" s="5" t="s">
        <v>135</v>
      </c>
      <c r="B8" s="5" t="s">
        <v>341</v>
      </c>
      <c r="C8" s="5" t="s">
        <v>350</v>
      </c>
      <c r="D8" s="5" t="s">
        <v>127</v>
      </c>
      <c r="E8" s="9" t="s">
        <v>351</v>
      </c>
      <c r="F8" s="5"/>
    </row>
    <row r="9" customFormat="false" ht="15" hidden="false" customHeight="false" outlineLevel="0" collapsed="false">
      <c r="A9" s="5" t="s">
        <v>142</v>
      </c>
      <c r="B9" s="5" t="s">
        <v>341</v>
      </c>
      <c r="C9" s="5" t="s">
        <v>352</v>
      </c>
      <c r="D9" s="5" t="s">
        <v>136</v>
      </c>
      <c r="E9" s="9" t="s">
        <v>351</v>
      </c>
      <c r="F9" s="5"/>
    </row>
    <row r="10" customFormat="false" ht="15" hidden="false" customHeight="false" outlineLevel="0" collapsed="false">
      <c r="A10" s="5" t="s">
        <v>149</v>
      </c>
      <c r="B10" s="5" t="s">
        <v>341</v>
      </c>
      <c r="C10" s="5" t="s">
        <v>353</v>
      </c>
      <c r="D10" s="5" t="s">
        <v>143</v>
      </c>
      <c r="E10" s="9" t="s">
        <v>351</v>
      </c>
      <c r="F10" s="5"/>
    </row>
    <row r="11" customFormat="false" ht="15" hidden="false" customHeight="false" outlineLevel="0" collapsed="false">
      <c r="A11" s="5" t="s">
        <v>157</v>
      </c>
      <c r="B11" s="5" t="s">
        <v>341</v>
      </c>
      <c r="C11" s="5" t="s">
        <v>354</v>
      </c>
      <c r="D11" s="5" t="s">
        <v>150</v>
      </c>
      <c r="E11" s="9" t="s">
        <v>351</v>
      </c>
      <c r="F11" s="5" t="s">
        <v>355</v>
      </c>
    </row>
    <row r="12" customFormat="false" ht="23.85" hidden="false" customHeight="false" outlineLevel="0" collapsed="false">
      <c r="A12" s="5" t="s">
        <v>68</v>
      </c>
      <c r="B12" s="5" t="s">
        <v>341</v>
      </c>
      <c r="C12" s="5" t="s">
        <v>356</v>
      </c>
      <c r="D12" s="5" t="s">
        <v>60</v>
      </c>
      <c r="E12" s="6" t="s">
        <v>343</v>
      </c>
      <c r="F12" s="5" t="s">
        <v>357</v>
      </c>
    </row>
    <row r="13" customFormat="false" ht="23.85" hidden="false" customHeight="false" outlineLevel="0" collapsed="false">
      <c r="A13" s="5" t="s">
        <v>358</v>
      </c>
      <c r="B13" s="5" t="s">
        <v>341</v>
      </c>
      <c r="C13" s="5" t="s">
        <v>359</v>
      </c>
      <c r="D13" s="5" t="s">
        <v>53</v>
      </c>
      <c r="E13" s="6" t="s">
        <v>343</v>
      </c>
      <c r="F13" s="5"/>
    </row>
    <row r="14" customFormat="false" ht="23.85" hidden="false" customHeight="false" outlineLevel="0" collapsed="false">
      <c r="A14" s="5" t="s">
        <v>360</v>
      </c>
      <c r="B14" s="5" t="s">
        <v>341</v>
      </c>
      <c r="C14" s="5" t="s">
        <v>361</v>
      </c>
      <c r="D14" s="5" t="s">
        <v>348</v>
      </c>
      <c r="E14" s="6" t="s">
        <v>343</v>
      </c>
      <c r="F14" s="5" t="s">
        <v>362</v>
      </c>
    </row>
    <row r="15" customFormat="false" ht="23.85" hidden="false" customHeight="false" outlineLevel="0" collapsed="false">
      <c r="A15" s="5" t="s">
        <v>165</v>
      </c>
      <c r="B15" s="5" t="s">
        <v>341</v>
      </c>
      <c r="C15" s="5" t="s">
        <v>363</v>
      </c>
      <c r="D15" s="5" t="s">
        <v>158</v>
      </c>
      <c r="E15" s="9" t="s">
        <v>351</v>
      </c>
      <c r="F15" s="5"/>
    </row>
    <row r="16" customFormat="false" ht="23.85" hidden="false" customHeight="false" outlineLevel="0" collapsed="false">
      <c r="A16" s="5" t="s">
        <v>174</v>
      </c>
      <c r="B16" s="5" t="s">
        <v>341</v>
      </c>
      <c r="C16" s="5" t="s">
        <v>364</v>
      </c>
      <c r="D16" s="5" t="s">
        <v>166</v>
      </c>
      <c r="E16" s="9" t="s">
        <v>351</v>
      </c>
      <c r="F16" s="5"/>
    </row>
    <row r="17" customFormat="false" ht="23.85" hidden="false" customHeight="false" outlineLevel="0" collapsed="false">
      <c r="A17" s="5" t="s">
        <v>253</v>
      </c>
      <c r="B17" s="5" t="s">
        <v>365</v>
      </c>
      <c r="C17" s="5" t="s">
        <v>366</v>
      </c>
      <c r="D17" s="5" t="s">
        <v>244</v>
      </c>
      <c r="E17" s="6" t="s">
        <v>343</v>
      </c>
      <c r="F17" s="5"/>
    </row>
    <row r="18" customFormat="false" ht="23.85" hidden="false" customHeight="false" outlineLevel="0" collapsed="false">
      <c r="A18" s="5" t="s">
        <v>367</v>
      </c>
      <c r="B18" s="5" t="s">
        <v>365</v>
      </c>
      <c r="C18" s="5" t="s">
        <v>368</v>
      </c>
      <c r="D18" s="5" t="s">
        <v>263</v>
      </c>
      <c r="E18" s="6" t="s">
        <v>343</v>
      </c>
      <c r="F18" s="5" t="s">
        <v>369</v>
      </c>
    </row>
    <row r="19" customFormat="false" ht="15" hidden="false" customHeight="false" outlineLevel="0" collapsed="false">
      <c r="A19" s="5" t="s">
        <v>370</v>
      </c>
      <c r="B19" s="5" t="s">
        <v>365</v>
      </c>
      <c r="C19" s="5" t="s">
        <v>371</v>
      </c>
      <c r="D19" s="5" t="s">
        <v>263</v>
      </c>
      <c r="E19" s="6" t="s">
        <v>343</v>
      </c>
      <c r="F19" s="5"/>
    </row>
    <row r="20" customFormat="false" ht="23.85" hidden="false" customHeight="false" outlineLevel="0" collapsed="false">
      <c r="A20" s="5" t="s">
        <v>372</v>
      </c>
      <c r="B20" s="5" t="s">
        <v>365</v>
      </c>
      <c r="C20" s="5" t="s">
        <v>373</v>
      </c>
      <c r="D20" s="5" t="s">
        <v>229</v>
      </c>
      <c r="E20" s="6" t="s">
        <v>343</v>
      </c>
      <c r="F20" s="5"/>
    </row>
    <row r="21" customFormat="false" ht="23.85" hidden="false" customHeight="false" outlineLevel="0" collapsed="false">
      <c r="A21" s="5" t="s">
        <v>374</v>
      </c>
      <c r="B21" s="5" t="s">
        <v>365</v>
      </c>
      <c r="C21" s="5" t="s">
        <v>375</v>
      </c>
      <c r="D21" s="5" t="s">
        <v>297</v>
      </c>
      <c r="E21" s="6" t="s">
        <v>343</v>
      </c>
      <c r="F21" s="5"/>
    </row>
    <row r="22" customFormat="false" ht="23.85" hidden="false" customHeight="false" outlineLevel="0" collapsed="false">
      <c r="A22" s="5" t="s">
        <v>376</v>
      </c>
      <c r="B22" s="5" t="s">
        <v>365</v>
      </c>
      <c r="C22" s="5" t="s">
        <v>377</v>
      </c>
      <c r="D22" s="5" t="s">
        <v>297</v>
      </c>
      <c r="E22" s="15" t="s">
        <v>378</v>
      </c>
      <c r="F22" s="5" t="s">
        <v>379</v>
      </c>
    </row>
    <row r="23" customFormat="false" ht="23.85" hidden="false" customHeight="false" outlineLevel="0" collapsed="false">
      <c r="A23" s="5" t="s">
        <v>380</v>
      </c>
      <c r="B23" s="5" t="s">
        <v>365</v>
      </c>
      <c r="C23" s="5" t="s">
        <v>381</v>
      </c>
      <c r="D23" s="5" t="s">
        <v>297</v>
      </c>
      <c r="E23" s="6" t="s">
        <v>343</v>
      </c>
      <c r="F23" s="5"/>
    </row>
    <row r="24" customFormat="false" ht="23.85" hidden="false" customHeight="false" outlineLevel="0" collapsed="false">
      <c r="A24" s="5" t="s">
        <v>382</v>
      </c>
      <c r="B24" s="5" t="s">
        <v>365</v>
      </c>
      <c r="C24" s="5" t="s">
        <v>383</v>
      </c>
      <c r="D24" s="5" t="s">
        <v>297</v>
      </c>
      <c r="E24" s="6" t="s">
        <v>343</v>
      </c>
      <c r="F24" s="5"/>
    </row>
    <row r="25" customFormat="false" ht="23.85" hidden="false" customHeight="false" outlineLevel="0" collapsed="false">
      <c r="A25" s="5" t="s">
        <v>384</v>
      </c>
      <c r="B25" s="5" t="s">
        <v>365</v>
      </c>
      <c r="C25" s="5" t="s">
        <v>385</v>
      </c>
      <c r="D25" s="5" t="s">
        <v>229</v>
      </c>
      <c r="E25" s="6" t="s">
        <v>343</v>
      </c>
      <c r="F25" s="5"/>
    </row>
    <row r="26" customFormat="false" ht="23.85" hidden="false" customHeight="false" outlineLevel="0" collapsed="false">
      <c r="A26" s="5" t="s">
        <v>386</v>
      </c>
      <c r="B26" s="5" t="s">
        <v>365</v>
      </c>
      <c r="C26" s="5" t="s">
        <v>387</v>
      </c>
      <c r="D26" s="5" t="s">
        <v>263</v>
      </c>
      <c r="E26" s="15" t="s">
        <v>378</v>
      </c>
      <c r="F26" s="5" t="s">
        <v>388</v>
      </c>
    </row>
    <row r="27" customFormat="false" ht="23.85" hidden="false" customHeight="false" outlineLevel="0" collapsed="false">
      <c r="A27" s="5" t="s">
        <v>79</v>
      </c>
      <c r="B27" s="5" t="s">
        <v>389</v>
      </c>
      <c r="C27" s="5" t="s">
        <v>390</v>
      </c>
      <c r="D27" s="5" t="s">
        <v>391</v>
      </c>
      <c r="E27" s="8" t="s">
        <v>392</v>
      </c>
      <c r="F27" s="5" t="s">
        <v>393</v>
      </c>
    </row>
    <row r="28" customFormat="false" ht="23.85" hidden="false" customHeight="false" outlineLevel="0" collapsed="false">
      <c r="A28" s="5" t="s">
        <v>394</v>
      </c>
      <c r="B28" s="5" t="s">
        <v>389</v>
      </c>
      <c r="C28" s="5" t="s">
        <v>395</v>
      </c>
      <c r="D28" s="5" t="s">
        <v>263</v>
      </c>
      <c r="E28" s="6" t="s">
        <v>343</v>
      </c>
      <c r="F28" s="5"/>
    </row>
    <row r="29" customFormat="false" ht="23.85" hidden="false" customHeight="false" outlineLevel="0" collapsed="false">
      <c r="A29" s="5" t="s">
        <v>396</v>
      </c>
      <c r="B29" s="5" t="s">
        <v>389</v>
      </c>
      <c r="C29" s="5" t="s">
        <v>397</v>
      </c>
      <c r="D29" s="5" t="s">
        <v>297</v>
      </c>
      <c r="E29" s="6" t="s">
        <v>343</v>
      </c>
      <c r="F29" s="5"/>
    </row>
    <row r="30" customFormat="false" ht="23.85" hidden="false" customHeight="false" outlineLevel="0" collapsed="false">
      <c r="A30" s="5" t="s">
        <v>398</v>
      </c>
      <c r="B30" s="5" t="s">
        <v>389</v>
      </c>
      <c r="C30" s="5" t="s">
        <v>399</v>
      </c>
      <c r="D30" s="5" t="s">
        <v>400</v>
      </c>
      <c r="E30" s="6" t="s">
        <v>343</v>
      </c>
      <c r="F30" s="5"/>
    </row>
    <row r="31" customFormat="false" ht="15" hidden="false" customHeight="false" outlineLevel="0" collapsed="false">
      <c r="A31" s="5" t="s">
        <v>401</v>
      </c>
      <c r="B31" s="5" t="s">
        <v>389</v>
      </c>
      <c r="C31" s="5" t="s">
        <v>402</v>
      </c>
      <c r="D31" s="5" t="s">
        <v>400</v>
      </c>
      <c r="E31" s="6" t="s">
        <v>343</v>
      </c>
      <c r="F31" s="5"/>
    </row>
    <row r="32" customFormat="false" ht="23.85" hidden="false" customHeight="false" outlineLevel="0" collapsed="false">
      <c r="A32" s="5" t="s">
        <v>403</v>
      </c>
      <c r="B32" s="5" t="s">
        <v>389</v>
      </c>
      <c r="C32" s="5" t="s">
        <v>404</v>
      </c>
      <c r="D32" s="5" t="s">
        <v>229</v>
      </c>
      <c r="E32" s="6" t="s">
        <v>343</v>
      </c>
      <c r="F32" s="5"/>
    </row>
    <row r="33" customFormat="false" ht="23.85" hidden="false" customHeight="false" outlineLevel="0" collapsed="false">
      <c r="A33" s="5" t="s">
        <v>405</v>
      </c>
      <c r="B33" s="5" t="s">
        <v>389</v>
      </c>
      <c r="C33" s="5" t="s">
        <v>406</v>
      </c>
      <c r="D33" s="5" t="s">
        <v>229</v>
      </c>
      <c r="E33" s="6" t="s">
        <v>343</v>
      </c>
      <c r="F33" s="5"/>
    </row>
    <row r="34" customFormat="false" ht="23.85" hidden="false" customHeight="false" outlineLevel="0" collapsed="false">
      <c r="A34" s="5" t="s">
        <v>407</v>
      </c>
      <c r="B34" s="5" t="s">
        <v>389</v>
      </c>
      <c r="C34" s="5" t="s">
        <v>408</v>
      </c>
      <c r="D34" s="5" t="s">
        <v>229</v>
      </c>
      <c r="E34" s="6" t="s">
        <v>343</v>
      </c>
      <c r="F34" s="5"/>
    </row>
    <row r="35" customFormat="false" ht="23.85" hidden="false" customHeight="false" outlineLevel="0" collapsed="false">
      <c r="A35" s="5" t="s">
        <v>409</v>
      </c>
      <c r="B35" s="5" t="s">
        <v>389</v>
      </c>
      <c r="C35" s="5" t="s">
        <v>410</v>
      </c>
      <c r="D35" s="5" t="s">
        <v>305</v>
      </c>
      <c r="E35" s="6" t="s">
        <v>343</v>
      </c>
      <c r="F35" s="5"/>
    </row>
    <row r="36" customFormat="false" ht="15" hidden="false" customHeight="false" outlineLevel="0" collapsed="false">
      <c r="A36" s="5" t="s">
        <v>411</v>
      </c>
      <c r="B36" s="5" t="s">
        <v>389</v>
      </c>
      <c r="C36" s="5" t="s">
        <v>412</v>
      </c>
      <c r="D36" s="5" t="s">
        <v>305</v>
      </c>
      <c r="E36" s="6" t="s">
        <v>343</v>
      </c>
      <c r="F36" s="5"/>
    </row>
    <row r="37" customFormat="false" ht="23.85" hidden="false" customHeight="false" outlineLevel="0" collapsed="false">
      <c r="A37" s="5" t="s">
        <v>413</v>
      </c>
      <c r="B37" s="5" t="s">
        <v>389</v>
      </c>
      <c r="C37" s="5" t="s">
        <v>414</v>
      </c>
      <c r="D37" s="5" t="s">
        <v>305</v>
      </c>
      <c r="E37" s="6" t="s">
        <v>343</v>
      </c>
      <c r="F37" s="5"/>
    </row>
    <row r="38" customFormat="false" ht="23.85" hidden="false" customHeight="false" outlineLevel="0" collapsed="false">
      <c r="A38" s="5" t="s">
        <v>415</v>
      </c>
      <c r="B38" s="5" t="s">
        <v>389</v>
      </c>
      <c r="C38" s="5" t="s">
        <v>416</v>
      </c>
      <c r="D38" s="5" t="s">
        <v>254</v>
      </c>
      <c r="E38" s="6" t="s">
        <v>343</v>
      </c>
      <c r="F38" s="5"/>
    </row>
    <row r="39" customFormat="false" ht="23.85" hidden="false" customHeight="false" outlineLevel="0" collapsed="false">
      <c r="A39" s="5" t="s">
        <v>417</v>
      </c>
      <c r="B39" s="5" t="s">
        <v>389</v>
      </c>
      <c r="C39" s="5" t="s">
        <v>418</v>
      </c>
      <c r="D39" s="5" t="s">
        <v>254</v>
      </c>
      <c r="E39" s="6" t="s">
        <v>343</v>
      </c>
      <c r="F39" s="5"/>
    </row>
    <row r="40" customFormat="false" ht="23.85" hidden="false" customHeight="false" outlineLevel="0" collapsed="false">
      <c r="A40" s="5" t="s">
        <v>419</v>
      </c>
      <c r="B40" s="5" t="s">
        <v>389</v>
      </c>
      <c r="C40" s="5" t="s">
        <v>420</v>
      </c>
      <c r="D40" s="5" t="s">
        <v>254</v>
      </c>
      <c r="E40" s="6" t="s">
        <v>343</v>
      </c>
      <c r="F40" s="5"/>
    </row>
    <row r="41" customFormat="false" ht="23.85" hidden="false" customHeight="false" outlineLevel="0" collapsed="false">
      <c r="A41" s="5" t="s">
        <v>421</v>
      </c>
      <c r="B41" s="5" t="s">
        <v>422</v>
      </c>
      <c r="C41" s="5" t="s">
        <v>423</v>
      </c>
      <c r="D41" s="5" t="s">
        <v>95</v>
      </c>
      <c r="E41" s="6" t="s">
        <v>343</v>
      </c>
      <c r="F41" s="5"/>
    </row>
    <row r="42" customFormat="false" ht="23.85" hidden="false" customHeight="false" outlineLevel="0" collapsed="false">
      <c r="A42" s="5" t="s">
        <v>424</v>
      </c>
      <c r="B42" s="5" t="s">
        <v>422</v>
      </c>
      <c r="C42" s="5" t="s">
        <v>425</v>
      </c>
      <c r="D42" s="5" t="s">
        <v>95</v>
      </c>
      <c r="E42" s="6" t="s">
        <v>343</v>
      </c>
      <c r="F42" s="5"/>
    </row>
    <row r="43" customFormat="false" ht="15" hidden="false" customHeight="false" outlineLevel="0" collapsed="false">
      <c r="A43" s="5" t="s">
        <v>426</v>
      </c>
      <c r="B43" s="5" t="s">
        <v>422</v>
      </c>
      <c r="C43" s="5" t="s">
        <v>427</v>
      </c>
      <c r="D43" s="5" t="s">
        <v>95</v>
      </c>
      <c r="E43" s="6" t="s">
        <v>343</v>
      </c>
      <c r="F43" s="5"/>
    </row>
    <row r="44" customFormat="false" ht="15" hidden="false" customHeight="false" outlineLevel="0" collapsed="false">
      <c r="A44" s="5" t="s">
        <v>428</v>
      </c>
      <c r="B44" s="5" t="s">
        <v>422</v>
      </c>
      <c r="C44" s="5" t="s">
        <v>429</v>
      </c>
      <c r="D44" s="5" t="s">
        <v>95</v>
      </c>
      <c r="E44" s="6" t="s">
        <v>343</v>
      </c>
      <c r="F44" s="5"/>
    </row>
    <row r="45" customFormat="false" ht="23.85" hidden="false" customHeight="false" outlineLevel="0" collapsed="false">
      <c r="A45" s="5" t="s">
        <v>430</v>
      </c>
      <c r="B45" s="5" t="s">
        <v>422</v>
      </c>
      <c r="C45" s="5" t="s">
        <v>431</v>
      </c>
      <c r="D45" s="5" t="s">
        <v>81</v>
      </c>
      <c r="E45" s="6" t="s">
        <v>343</v>
      </c>
      <c r="F45" s="5"/>
    </row>
    <row r="46" customFormat="false" ht="23.85" hidden="false" customHeight="false" outlineLevel="0" collapsed="false">
      <c r="A46" s="5" t="s">
        <v>432</v>
      </c>
      <c r="B46" s="5" t="s">
        <v>422</v>
      </c>
      <c r="C46" s="5" t="s">
        <v>433</v>
      </c>
      <c r="D46" s="5" t="s">
        <v>81</v>
      </c>
      <c r="E46" s="8" t="s">
        <v>392</v>
      </c>
      <c r="F46" s="5" t="s">
        <v>434</v>
      </c>
    </row>
    <row r="47" customFormat="false" ht="23.85" hidden="false" customHeight="false" outlineLevel="0" collapsed="false">
      <c r="A47" s="5" t="s">
        <v>184</v>
      </c>
      <c r="B47" s="5" t="s">
        <v>422</v>
      </c>
      <c r="C47" s="5" t="s">
        <v>435</v>
      </c>
      <c r="D47" s="5" t="s">
        <v>175</v>
      </c>
      <c r="E47" s="9" t="s">
        <v>351</v>
      </c>
      <c r="F47" s="5"/>
    </row>
    <row r="48" customFormat="false" ht="23.85" hidden="false" customHeight="false" outlineLevel="0" collapsed="false">
      <c r="A48" s="5" t="s">
        <v>436</v>
      </c>
      <c r="B48" s="5" t="s">
        <v>437</v>
      </c>
      <c r="C48" s="5" t="s">
        <v>438</v>
      </c>
      <c r="D48" s="5" t="s">
        <v>319</v>
      </c>
      <c r="E48" s="6" t="s">
        <v>343</v>
      </c>
      <c r="F48" s="5"/>
    </row>
    <row r="49" customFormat="false" ht="23.85" hidden="false" customHeight="false" outlineLevel="0" collapsed="false">
      <c r="A49" s="5" t="s">
        <v>439</v>
      </c>
      <c r="B49" s="5" t="s">
        <v>437</v>
      </c>
      <c r="C49" s="5" t="s">
        <v>440</v>
      </c>
      <c r="D49" s="5" t="s">
        <v>319</v>
      </c>
      <c r="E49" s="6" t="s">
        <v>343</v>
      </c>
      <c r="F49" s="5"/>
    </row>
    <row r="50" customFormat="false" ht="15" hidden="false" customHeight="false" outlineLevel="0" collapsed="false">
      <c r="A50" s="5" t="s">
        <v>441</v>
      </c>
      <c r="B50" s="5" t="s">
        <v>437</v>
      </c>
      <c r="C50" s="5" t="s">
        <v>442</v>
      </c>
      <c r="D50" s="5" t="s">
        <v>319</v>
      </c>
      <c r="E50" s="6" t="s">
        <v>343</v>
      </c>
      <c r="F50" s="5"/>
    </row>
    <row r="51" customFormat="false" ht="15" hidden="false" customHeight="false" outlineLevel="0" collapsed="false">
      <c r="A51" s="5" t="s">
        <v>443</v>
      </c>
      <c r="B51" s="5" t="s">
        <v>437</v>
      </c>
      <c r="C51" s="5" t="s">
        <v>444</v>
      </c>
      <c r="D51" s="5" t="s">
        <v>319</v>
      </c>
      <c r="E51" s="6" t="s">
        <v>343</v>
      </c>
      <c r="F51" s="5"/>
    </row>
    <row r="52" customFormat="false" ht="23.85" hidden="false" customHeight="false" outlineLevel="0" collapsed="false">
      <c r="A52" s="5" t="s">
        <v>445</v>
      </c>
      <c r="B52" s="5" t="s">
        <v>437</v>
      </c>
      <c r="C52" s="5" t="s">
        <v>446</v>
      </c>
      <c r="D52" s="5" t="s">
        <v>319</v>
      </c>
      <c r="E52" s="15" t="s">
        <v>378</v>
      </c>
      <c r="F52" s="5" t="s">
        <v>447</v>
      </c>
    </row>
    <row r="54" customFormat="false" ht="15" hidden="false" customHeight="false" outlineLevel="0" collapsed="false">
      <c r="A54" s="10" t="s">
        <v>339</v>
      </c>
      <c r="B54" s="10" t="s">
        <v>327</v>
      </c>
    </row>
    <row r="55" customFormat="false" ht="15" hidden="false" customHeight="false" outlineLevel="0" collapsed="false">
      <c r="A55" s="11" t="s">
        <v>343</v>
      </c>
      <c r="B55" s="11" t="n">
        <f aca="false">COUNTIF($E$5:$E$52,"Covered")</f>
        <v>36</v>
      </c>
    </row>
    <row r="56" customFormat="false" ht="15" hidden="false" customHeight="false" outlineLevel="0" collapsed="false">
      <c r="A56" s="11" t="s">
        <v>392</v>
      </c>
      <c r="B56" s="11" t="n">
        <f aca="false">COUNTIF($E$5:$E$52,"Extended")</f>
        <v>2</v>
      </c>
    </row>
    <row r="57" customFormat="false" ht="15" hidden="false" customHeight="false" outlineLevel="0" collapsed="false">
      <c r="A57" s="11" t="s">
        <v>351</v>
      </c>
      <c r="B57" s="11" t="n">
        <f aca="false">COUNTIF($E$5:$E$52,"Added")</f>
        <v>7</v>
      </c>
    </row>
    <row r="58" customFormat="false" ht="15" hidden="false" customHeight="false" outlineLevel="0" collapsed="false">
      <c r="A58" s="11" t="s">
        <v>378</v>
      </c>
      <c r="B58" s="11" t="n">
        <f aca="false">COUNTIF($E$5:$E$52,"Partial")</f>
        <v>3</v>
      </c>
    </row>
    <row r="59" customFormat="false" ht="15" hidden="false" customHeight="false" outlineLevel="0" collapsed="false">
      <c r="A59" s="10" t="s">
        <v>328</v>
      </c>
      <c r="B59" s="10" t="n">
        <f aca="false">SUM(B55:B58)</f>
        <v>48</v>
      </c>
    </row>
  </sheetData>
  <autoFilter ref="A4:F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2026-09-30T06:23:51Z</dcterms:created>
  <dc:creator>openpyxl</dc:creator>
  <dc:description/>
  <dc:language>en-US</dc:language>
  <cp:lastModifiedBy/>
  <dcterms:modified xsi:type="dcterms:W3CDTF">2026-09-30T06:23:51Z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