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  <sheet name="Test Data" sheetId="3" state="visible" r:id="rId5"/>
  </sheets>
  <definedNames>
    <definedName function="false" hidden="true" localSheetId="0" name="_xlnm._FilterDatabase" vbProcedure="false">'Test Cases'!$A$5:$N$44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<sst xmlns="http://schemas.openxmlformats.org/spreadsheetml/2006/main" count="560" uniqueCount="253">
  <si>
    <t xml:space="preserve">ADO #25969 — Distribute Total Acres Equally Across Selected Users (iOS) — Test Cases</t>
  </si>
  <si>
    <t xml:space="preserve">Source: ADO #25969 + product answers 2026-10-09 (all WO types except Inspection; multiple resources, Individual default; overdue allowed; iOS + web only, no D365 acreage posting) + developer handover notes (branch bugfix/25969-…, commit ad8056e5b). Plan: playwright/test-plans/authenticated/work-orders-distribute-acres-ios.md. No PSD or mock-up attached to the ticket.</t>
  </si>
  <si>
    <t xml:space="preserve">Legend: fill in the yellow Result column (Pass / Fail / Blocked / Not Run) and the Run details cells on the Summary tab. Example: DIST-012 — 4.75 acres across 2 users must show 2.37 and 2.38. Notes flag product-confirmed and still-open behaviour.</t>
  </si>
  <si>
    <t xml:space="preserve">ID</t>
  </si>
  <si>
    <t xml:space="preserve">Title</t>
  </si>
  <si>
    <t xml:space="preserve">Section</t>
  </si>
  <si>
    <t xml:space="preserve">Role</t>
  </si>
  <si>
    <t xml:space="preserve">Platform</t>
  </si>
  <si>
    <t xml:space="preserve">Priority</t>
  </si>
  <si>
    <t xml:space="preserve">Type</t>
  </si>
  <si>
    <t xml:space="preserve">Preconditions</t>
  </si>
  <si>
    <t xml:space="preserve">Steps</t>
  </si>
  <si>
    <t xml:space="preserve">Test data</t>
  </si>
  <si>
    <t xml:space="preserve">Expected result</t>
  </si>
  <si>
    <t xml:space="preserve">Source</t>
  </si>
  <si>
    <t xml:space="preserve">Notes</t>
  </si>
  <si>
    <t xml:space="preserve">Result</t>
  </si>
  <si>
    <t xml:space="preserve">DIST-001</t>
  </si>
  <si>
    <t xml:space="preserve">Switch shows with Individual as default</t>
  </si>
  <si>
    <t xml:space="preserve">Display and default</t>
  </si>
  <si>
    <t xml:space="preserve">Supervisor</t>
  </si>
  <si>
    <t xml:space="preserve">Mobile (iOS)</t>
  </si>
  <si>
    <t xml:space="preserve">P1</t>
  </si>
  <si>
    <t xml:space="preserve">Smoke</t>
  </si>
  <si>
    <t xml:space="preserve">iOS build with commit ad8056e5b; logged in on mobile as a Supervisor (VBS tenant, QA env). WO A: Planned WO, In Progress, one area-based (acres) block, Supervisor + 3 Farm Hands started on the job</t>
  </si>
  <si>
    <t xml:space="preserve">WO A → tap Pause Job → Progress tab</t>
  </si>
  <si>
    <t xml:space="preserve">Individual | Distribute equally switch appears below the Progress / Materials tabs, Individual is selected, each user row has an editable area field (as before the change)</t>
  </si>
  <si>
    <t xml:space="preserve">ADO #25969 + product 2026-10-09</t>
  </si>
  <si>
    <t xml:space="preserve">Confirmed by product answers 2026-10-09.</t>
  </si>
  <si>
    <t xml:space="preserve">Not Run</t>
  </si>
  <si>
    <t xml:space="preserve">DIST-002</t>
  </si>
  <si>
    <t xml:space="preserve">Same switch on Save Progress</t>
  </si>
  <si>
    <t xml:space="preserve">Functional</t>
  </si>
  <si>
    <t xml:space="preserve">WO A → Save Progress → Progress</t>
  </si>
  <si>
    <t xml:space="preserve">Same as DIST-001</t>
  </si>
  <si>
    <t xml:space="preserve">ADO #25969 dev notes</t>
  </si>
  <si>
    <t xml:space="preserve">DIST-003</t>
  </si>
  <si>
    <t xml:space="preserve">Individual mode unchanged</t>
  </si>
  <si>
    <t xml:space="preserve">Regression</t>
  </si>
  <si>
    <t xml:space="preserve">In Individual mode, enter 1.5 / 2 / 0.5 for the 3 users → save</t>
  </si>
  <si>
    <t xml:space="preserve">Saved exactly as typed. Nothing is auto-filled</t>
  </si>
  <si>
    <t xml:space="preserve">DIST-004</t>
  </si>
  <si>
    <t xml:space="preserve">Switch hidden on Materials tab, state kept</t>
  </si>
  <si>
    <t xml:space="preserve">P2</t>
  </si>
  <si>
    <t xml:space="preserve">Distribute equally, Total Acres 6 → Materials tab → back to Progress</t>
  </si>
  <si>
    <t xml:space="preserve">Switch is not on Materials. Back on Progress: still Distribute equally, Total Acres still 6, shares still 2.00 each</t>
  </si>
  <si>
    <t xml:space="preserve">DIST-005</t>
  </si>
  <si>
    <t xml:space="preserve">Mode not remembered between openings</t>
  </si>
  <si>
    <t xml:space="preserve">P3</t>
  </si>
  <si>
    <t xml:space="preserve">Save in Distribute equally → reopen Pause Job</t>
  </si>
  <si>
    <t xml:space="preserve">Screen opens in Individual. Confirmed by product: default view is always Individual</t>
  </si>
  <si>
    <t xml:space="preserve">DIST-010</t>
  </si>
  <si>
    <t xml:space="preserve">Total Acres field and hint appear</t>
  </si>
  <si>
    <t xml:space="preserve">Distribution and rounding (Distribute equally)</t>
  </si>
  <si>
    <t xml:space="preserve">1. Open the WO → tap Pause Job → Progress tab.
2. Tap Distribute equally.
3. Select the users given in Test data.
4. Enter the Total Acres given in Test data.
5. Read each user's area field.</t>
  </si>
  <si>
    <t xml:space="preserve">Tap Distribute equally</t>
  </si>
  <si>
    <t xml:space="preserve">Total Acres field shows, hint reads Distributed equally across 3 selected users, per-user area fields become read-only (no keyboard on tap)</t>
  </si>
  <si>
    <t xml:space="preserve">DIST-011</t>
  </si>
  <si>
    <t xml:space="preserve">Even split</t>
  </si>
  <si>
    <t xml:space="preserve">6 / 3</t>
  </si>
  <si>
    <t xml:space="preserve">2.00, 2.00, 2.00</t>
  </si>
  <si>
    <t xml:space="preserve">Rounding rule still open with product.</t>
  </si>
  <si>
    <t xml:space="preserve">DIST-012</t>
  </si>
  <si>
    <t xml:space="preserve">Uneven split, 2 users</t>
  </si>
  <si>
    <t xml:space="preserve">4.75 / 2</t>
  </si>
  <si>
    <t xml:space="preserve">2.37, 2.38 (sum 4.75)</t>
  </si>
  <si>
    <t xml:space="preserve">DIST-013</t>
  </si>
  <si>
    <t xml:space="preserve">Uneven split, 3 users</t>
  </si>
  <si>
    <t xml:space="preserve">10 / 3</t>
  </si>
  <si>
    <t xml:space="preserve">3.33, 3.33, 3.34 (sum 10.00)</t>
  </si>
  <si>
    <t xml:space="preserve">DIST-014</t>
  </si>
  <si>
    <t xml:space="preserve">Remainder over 2 users</t>
  </si>
  <si>
    <t xml:space="preserve">Edge</t>
  </si>
  <si>
    <t xml:space="preserve">1 / 7 (if you have 7 users), otherwise 0.05 / 3</t>
  </si>
  <si>
    <t xml:space="preserve">0.14×5 + 0.15×2, or 0.01, 0.02, 0.02. Sum equals the total</t>
  </si>
  <si>
    <t xml:space="preserve">DIST-015</t>
  </si>
  <si>
    <t xml:space="preserve">Total smaller than user count × 0.01</t>
  </si>
  <si>
    <t xml:space="preserve">0.01 / 3</t>
  </si>
  <si>
    <t xml:space="preserve">0.00, 0.00, 0.01. Check how 0.00 users are saved (no log or zero log)</t>
  </si>
  <si>
    <t xml:space="preserve">DIST-016</t>
  </si>
  <si>
    <t xml:space="preserve">More than 2 decimals typed</t>
  </si>
  <si>
    <t xml:space="preserve">Negative</t>
  </si>
  <si>
    <t xml:space="preserve">4.755 / 2</t>
  </si>
  <si>
    <t xml:space="preserve">Field rejects or rounds the 3rd decimal. Shares still sum to what the Total Acres field shows</t>
  </si>
  <si>
    <t xml:space="preserve">DIST-017</t>
  </si>
  <si>
    <t xml:space="preserve">Zero, negative, non-numeric</t>
  </si>
  <si>
    <t xml:space="preserve">0; -5; paste abc; 4,75 (EU keypad)</t>
  </si>
  <si>
    <t xml:space="preserve">0 gives no area. Negative and text are blocked (decimal keypad). Note how a comma decimal is handled</t>
  </si>
  <si>
    <t xml:space="preserve">DIST-018</t>
  </si>
  <si>
    <t xml:space="preserve">Empty Total Acres</t>
  </si>
  <si>
    <t xml:space="preserve">Leave blank → save</t>
  </si>
  <si>
    <t xml:space="preserve">Users get no area, same as empty fields in Individual mode (per dev notes)</t>
  </si>
  <si>
    <t xml:space="preserve">DIST-019</t>
  </si>
  <si>
    <t xml:space="preserve">Total above remaining area allowed</t>
  </si>
  <si>
    <t xml:space="preserve">Total larger than the block's remaining area, e.g. remaining + 5</t>
  </si>
  <si>
    <t xml:space="preserve">Accepted, shares split as usual, saves without a blocking error (product: overdue allowed)</t>
  </si>
  <si>
    <t xml:space="preserve">Confirmed by product answers 2026-10-09. "Overdue allowed" read as over remaining area; confirm.</t>
  </si>
  <si>
    <t xml:space="preserve">DIST-020</t>
  </si>
  <si>
    <t xml:space="preserve">Unselect a user</t>
  </si>
  <si>
    <t xml:space="preserve">Selection changes</t>
  </si>
  <si>
    <t xml:space="preserve">10 / 3 → unselect user 3</t>
  </si>
  <si>
    <t xml:space="preserve">Hint shows 2 selected users. Shares 5.00, 5.00. Unselected user's area is empty</t>
  </si>
  <si>
    <t xml:space="preserve">DIST-021</t>
  </si>
  <si>
    <t xml:space="preserve">Reselect a user</t>
  </si>
  <si>
    <t xml:space="preserve">Continue DIST-020 → reselect user 3</t>
  </si>
  <si>
    <t xml:space="preserve">Back to 3.33, 3.33, 3.34 and 3 selected users</t>
  </si>
  <si>
    <t xml:space="preserve">DIST-022</t>
  </si>
  <si>
    <t xml:space="preserve">Select All toggle</t>
  </si>
  <si>
    <t xml:space="preserve">Toggle Select All off, then on</t>
  </si>
  <si>
    <t xml:space="preserve">Off: no shares (check the hint at 0 users, no crash or divide-by-zero). On: shares spread over all users again</t>
  </si>
  <si>
    <t xml:space="preserve">DIST-023</t>
  </si>
  <si>
    <t xml:space="preserve">Selection through search</t>
  </si>
  <si>
    <t xml:space="preserve">Search a user name → select or unselect from the filtered list → clear search</t>
  </si>
  <si>
    <t xml:space="preserve">Count and shares include the change. Users hidden by the search keep their selection and share</t>
  </si>
  <si>
    <t xml:space="preserve">DIST-024</t>
  </si>
  <si>
    <t xml:space="preserve">Down to one selected user</t>
  </si>
  <si>
    <t xml:space="preserve">10 / 3 → unselect two users</t>
  </si>
  <si>
    <t xml:space="preserve">Single user gets 10.00. Note whether the switch stays visible (it only shows for blocks with &gt;1 user)</t>
  </si>
  <si>
    <t xml:space="preserve">DIST-025</t>
  </si>
  <si>
    <t xml:space="preserve">Supervisor row gets no share</t>
  </si>
  <si>
    <t xml:space="preserve">WO A, Supervisor plus workers listed</t>
  </si>
  <si>
    <t xml:space="preserve">Supervisor row has no area field and no share. N in the hint counts workers only</t>
  </si>
  <si>
    <t xml:space="preserve">DIST-030</t>
  </si>
  <si>
    <t xml:space="preserve">Back to Individual keeps values</t>
  </si>
  <si>
    <t xml:space="preserve">Switching back and saving</t>
  </si>
  <si>
    <t xml:space="preserve">4.75 / 2 → switch to Individual</t>
  </si>
  <si>
    <t xml:space="preserve">Fields become editable and still show 2.37 / 2.38. Total Acres field hides</t>
  </si>
  <si>
    <t xml:space="preserve">DIST-031</t>
  </si>
  <si>
    <t xml:space="preserve">Pause Job saves distributed values</t>
  </si>
  <si>
    <t xml:space="preserve">10 / 3 → Pause Job</t>
  </si>
  <si>
    <t xml:space="preserve">Saved without error. The block's Total Area increases by 10.00. Each user's progress log shows 3.33 / 3.33 / 3.34</t>
  </si>
  <si>
    <t xml:space="preserve">DIST-032</t>
  </si>
  <si>
    <t xml:space="preserve">Save Progress saves distributed values</t>
  </si>
  <si>
    <t xml:space="preserve">4.75 / 2 → Save Progress</t>
  </si>
  <si>
    <t xml:space="preserve">As DIST-031 with 2.37 / 2.38</t>
  </si>
  <si>
    <t xml:space="preserve">DIST-033</t>
  </si>
  <si>
    <t xml:space="preserve">Web reflects mobile values</t>
  </si>
  <si>
    <t xml:space="preserve">Mobile (iOS) / Web</t>
  </si>
  <si>
    <t xml:space="preserve">After DIST-031, open WO A on QA web → View → Plots grid and View Spent Hours</t>
  </si>
  <si>
    <t xml:space="preserve">Plot progress / area includes the 10.00 total. Per-user split matches mobile. Acreage is not posted to D365, so there is nothing to check there</t>
  </si>
  <si>
    <t xml:space="preserve">Web labels (Plots grid / View Spent Hours) to be confirmed on first run. No D365 posting of acreage (product 2026-10-09).</t>
  </si>
  <si>
    <t xml:space="preserve">DIST-034</t>
  </si>
  <si>
    <t xml:space="preserve">Edit after switch, then save</t>
  </si>
  <si>
    <t xml:space="preserve">Distribute 6 / 3 → Individual → change user 1 to 3 → save</t>
  </si>
  <si>
    <t xml:space="preserve">Saved 3 / 2 / 2 (the Individual edits win)</t>
  </si>
  <si>
    <t xml:space="preserve">DIST-040</t>
  </si>
  <si>
    <t xml:space="preserve">Switch on each block page</t>
  </si>
  <si>
    <t xml:space="preserve">Multi-block End Job</t>
  </si>
  <si>
    <t xml:space="preserve">iOS build with commit ad8056e5b; logged in on mobile as a Supervisor (VBS tenant, QA env). WO B: Planned WO, In Progress, 2 area-based blocks, Supervisor + 2+ Farm Hands started on the job</t>
  </si>
  <si>
    <t xml:space="preserve">WO B → End Job</t>
  </si>
  <si>
    <t xml:space="preserve">Every area-based block page has its own switch, defaulting to Individual</t>
  </si>
  <si>
    <t xml:space="preserve">DIST-041</t>
  </si>
  <si>
    <t xml:space="preserve">Blocks are independent</t>
  </si>
  <si>
    <t xml:space="preserve">Block 1: Distribute 4.75 / 2. Block 2: Individual 1 / 1.5 → End Job</t>
  </si>
  <si>
    <t xml:space="preserve">Each block saves its own values. Block 1's mode and total don't leak into block 2</t>
  </si>
  <si>
    <t xml:space="preserve">DIST-042</t>
  </si>
  <si>
    <t xml:space="preserve">Paging back keeps state</t>
  </si>
  <si>
    <t xml:space="preserve">Fill block 1 → go to block 2 → back to block 1</t>
  </si>
  <si>
    <t xml:space="preserve">Block 1 still in Distribute equally with the same total and shares</t>
  </si>
  <si>
    <t xml:space="preserve">DIST-051</t>
  </si>
  <si>
    <t xml:space="preserve">Single-resource block: hidden</t>
  </si>
  <si>
    <t xml:space="preserve">Work order type coverage</t>
  </si>
  <si>
    <t xml:space="preserve">iOS build with commit ad8056e5b; logged in on mobile as a Supervisor (VBS tenant, QA env). WO D: area-based block, 1 resource only</t>
  </si>
  <si>
    <t xml:space="preserve">WO D → Pause Job → Progress</t>
  </si>
  <si>
    <t xml:space="preserve">No switch</t>
  </si>
  <si>
    <t xml:space="preserve">DIST-052</t>
  </si>
  <si>
    <t xml:space="preserve">Inspection WO: hidden</t>
  </si>
  <si>
    <t xml:space="preserve">iOS build with commit ad8056e5b; logged in on mobile as a Supervisor (VBS tenant, QA env). WO E: Inspection WO, 2+ users</t>
  </si>
  <si>
    <t xml:space="preserve">WO E → Pause/End Job</t>
  </si>
  <si>
    <t xml:space="preserve">No switch (the only WO type excluded)</t>
  </si>
  <si>
    <t xml:space="preserve">DIST-053</t>
  </si>
  <si>
    <t xml:space="preserve">Harvest WO: shown</t>
  </si>
  <si>
    <t xml:space="preserve">iOS build with commit ad8056e5b; logged in on mobile as a Supervisor (VBS tenant, QA env). WO G: Harvest WO, In Progress, area-based block, 2+ users</t>
  </si>
  <si>
    <t xml:space="preserve">WO G → Pause Job / Save Progress / End Job → Progress</t>
  </si>
  <si>
    <t xml:space="preserve">Switch shown, Individual default, distribution as DIST-012. Dev notes say the harvesting end-job screen wasn't changed: if missing, log against #25969</t>
  </si>
  <si>
    <t xml:space="preserve">Product: all WO types except Inspection. Dev notes: screen not changed. Likely gap on #25969.</t>
  </si>
  <si>
    <t xml:space="preserve">DIST-054</t>
  </si>
  <si>
    <t xml:space="preserve">Percentage-progress (general) WO</t>
  </si>
  <si>
    <t xml:space="preserve">iOS build with commit ad8056e5b; logged in on mobile as a Supervisor (VBS tenant, QA env). General (percentage-progress) WO, 2+ users</t>
  </si>
  <si>
    <t xml:space="preserve">General WO with 2+ users → Pause/End Job</t>
  </si>
  <si>
    <t xml:space="preserve">Product says all types except Inspection. Dev notes say this screen has no per-user area. Record what shows and confirm with product before filing</t>
  </si>
  <si>
    <t xml:space="preserve">DIST-056</t>
  </si>
  <si>
    <t xml:space="preserve">Tank Mix WO: shown</t>
  </si>
  <si>
    <t xml:space="preserve">iOS build with commit ad8056e5b; logged in on mobile as a Supervisor (VBS tenant, QA env). WO F: Tank Mix WO, In Progress, area-based block, 2+ users</t>
  </si>
  <si>
    <t xml:space="preserve">WO F → Pause Job → Progress → Distribute equally, 4.75 / 2 → Pause Job</t>
  </si>
  <si>
    <t xml:space="preserve">Switch shown, Individual default, shares 2.37 / 2.38, saved</t>
  </si>
  <si>
    <t xml:space="preserve">DIST-057</t>
  </si>
  <si>
    <t xml:space="preserve">Overdue WO: shown and saves</t>
  </si>
  <si>
    <t xml:space="preserve">iOS build with commit ad8056e5b; logged in on mobile as a Supervisor (VBS tenant, QA env). WO H: Planned WO with End Date in the past (overdue), In Progress, area-based block, 2+ users</t>
  </si>
  <si>
    <t xml:space="preserve">WO H → Pause Job → Progress → Distribute equally, 10 / 3 → Pause Job</t>
  </si>
  <si>
    <t xml:space="preserve">Switch shown and works as on WO A. No overdue warning blocks the save</t>
  </si>
  <si>
    <t xml:space="preserve">DIST-060</t>
  </si>
  <si>
    <t xml:space="preserve">Small screen + keyboard</t>
  </si>
  <si>
    <t xml:space="preserve">UI and language</t>
  </si>
  <si>
    <t xml:space="preserve">UI</t>
  </si>
  <si>
    <t xml:space="preserve">iOS build with commit ad8056e5b; logged in on mobile as a Supervisor (VBS tenant, QA env). WO A: Planned WO, In Progress, one area-based (acres) block, Supervisor + 3 Farm Hands started on the job. Small-screen iPhone (e.g. iPhone SE).</t>
  </si>
  <si>
    <t xml:space="preserve">iPhone SE, Distribute equally, focus Total Acres</t>
  </si>
  <si>
    <t xml:space="preserve">Switch, field, hint and first user row are all visible above the keyboard. No clipped text. Keyboard can be dismissed</t>
  </si>
  <si>
    <t xml:space="preserve">DIST-061</t>
  </si>
  <si>
    <t xml:space="preserve">Large text (Dynamic Type)</t>
  </si>
  <si>
    <t xml:space="preserve">Settings → larger text → repeat DIST-010</t>
  </si>
  <si>
    <t xml:space="preserve">Labels wrap and nothing overlaps</t>
  </si>
  <si>
    <t xml:space="preserve">DIST-062</t>
  </si>
  <si>
    <t xml:space="preserve">Non-English language</t>
  </si>
  <si>
    <t xml:space="preserve">Switch the app language → open the screen</t>
  </si>
  <si>
    <t xml:space="preserve">New labels show English fallback text (Distribute equally, Total Acres, hint). Known gap: translations still to be added</t>
  </si>
  <si>
    <t xml:space="preserve">Translations still open with product.</t>
  </si>
  <si>
    <t xml:space="preserve">Summary</t>
  </si>
  <si>
    <t xml:space="preserve">By result</t>
  </si>
  <si>
    <t xml:space="preserve">Count</t>
  </si>
  <si>
    <t xml:space="preserve">Pass</t>
  </si>
  <si>
    <t xml:space="preserve">Fail</t>
  </si>
  <si>
    <t xml:space="preserve">Blocked</t>
  </si>
  <si>
    <t xml:space="preserve">Total</t>
  </si>
  <si>
    <t xml:space="preserve">By priority</t>
  </si>
  <si>
    <t xml:space="preserve">By section</t>
  </si>
  <si>
    <t xml:space="preserve">Run details (fill in)</t>
  </si>
  <si>
    <t xml:space="preserve">Build number</t>
  </si>
  <si>
    <t xml:space="preserve">Device / iOS version</t>
  </si>
  <si>
    <t xml:space="preserve">Tester</t>
  </si>
  <si>
    <t xml:space="preserve">Date</t>
  </si>
  <si>
    <t xml:space="preserve">Preconditions and test data (QA env, VBS tenant)</t>
  </si>
  <si>
    <t xml:space="preserve">Item</t>
  </si>
  <si>
    <t xml:space="preserve">Value</t>
  </si>
  <si>
    <t xml:space="preserve">Device</t>
  </si>
  <si>
    <t xml:space="preserve">iPhone with the build above. Also an iPhone SE (or the smallest screen available) for the layout case</t>
  </si>
  <si>
    <t xml:space="preserve">Mobile login</t>
  </si>
  <si>
    <t xml:space="preserve">A Supervisor resource. Supervisors can start and end WOs for themselves and others. Check the resource group on web before filing a "switch missing" bug (a Farm Hand gets a different screen)</t>
  </si>
  <si>
    <t xml:space="preserve">WO A</t>
  </si>
  <si>
    <t xml:space="preserve">Planned WO, In Progress, one area-based (acres) plot/block, Supervisor + 3 Farm Hands started on the job</t>
  </si>
  <si>
    <t xml:space="preserve">WO B</t>
  </si>
  <si>
    <t xml:space="preserve">Same as A but with 2 blocks (for multi-block End Job)</t>
  </si>
  <si>
    <t xml:space="preserve">WO D</t>
  </si>
  <si>
    <t xml:space="preserve">WO with an area-based block and 1 user only (regression)</t>
  </si>
  <si>
    <t xml:space="preserve">WO E</t>
  </si>
  <si>
    <t xml:space="preserve">Inspection WO with 2+ users (regression)</t>
  </si>
  <si>
    <t xml:space="preserve">WO F</t>
  </si>
  <si>
    <t xml:space="preserve">Tank Mix WO, In Progress, area-based block, 2+ users</t>
  </si>
  <si>
    <t xml:space="preserve">WO G</t>
  </si>
  <si>
    <t xml:space="preserve">Harvest WO, In Progress, area-based block, 2+ users</t>
  </si>
  <si>
    <t xml:space="preserve">WO H</t>
  </si>
  <si>
    <t xml:space="preserve">Planned WO whose End Date is in the past (overdue), In Progress, area-based block, 2+ users</t>
  </si>
  <si>
    <t xml:space="preserve">Web check</t>
  </si>
  <si>
    <t xml:space="preserve">QA web → Work Orders → WO → eye icon (View) → Plots grid (Progress, Operational Area - ac) and the Supervisor View Spent Hours</t>
  </si>
  <si>
    <t xml:space="preserve">Product decisions (2026-10-09)</t>
  </si>
  <si>
    <t xml:space="preserve">1. WO types: all except Inspection WO. Covers Planned, Tank Mix and Harvest (DIST-053, DIST-056).</t>
  </si>
  <si>
    <t xml:space="preserve">2. Display: shown only with multiple resources. Default view is always Individual, so the mode is not remembered (DIST-001, DIST-005, DIST-051).</t>
  </si>
  <si>
    <t xml:space="preserve">3. Platforms: iOS and web only. Acreage is not posted to D365 (DIST-033).</t>
  </si>
  <si>
    <t xml:space="preserve">4. Overdue allowed: yes. Read as Total Acres above the block's remaining area (DIST-019). Overdue WOs past their End Date are also covered (DIST-057). Confirm which one product meant.</t>
  </si>
  <si>
    <t xml:space="preserve">Open questions for product</t>
  </si>
  <si>
    <t xml:space="preserve">1. Rounding rule: 2 decimals, leftover to the last user(s). Matches the mock-up per the dev, but the mock-up isn't attached to the ticket.</t>
  </si>
  <si>
    <t xml:space="preserve">2. Translations for the three new labels.</t>
  </si>
  <si>
    <t xml:space="preserve">3. Harvest and percentage-progress screens: product says covered, dev notes say not changed (DIST-053, DIST-054).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</si>
</sst>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40"/>
    <col collapsed="false" customWidth="true" hidden="false" outlineLevel="0" max="9" min="9" style="1" width="50"/>
    <col collapsed="false" customWidth="true" hidden="false" outlineLevel="0" max="10" min="10" style="1" width="22"/>
    <col collapsed="false" customWidth="true" hidden="false" outlineLevel="0" max="11" min="11" style="1" width="50"/>
    <col collapsed="false" customWidth="true" hidden="false" outlineLevel="0" max="12" min="12" style="1" width="18"/>
    <col collapsed="false" customWidth="true" hidden="false" outlineLevel="0" max="13" min="13" style="1" width="30"/>
    <col collapsed="false" customWidth="true" hidden="false" outlineLevel="0" max="14" min="14" style="1" width="11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57" hidden="false" customHeight="true" outlineLevel="0" collapsed="false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/>
      <c r="K6" s="5" t="s">
        <v>26</v>
      </c>
      <c r="L6" s="5" t="s">
        <v>27</v>
      </c>
      <c r="M6" s="5" t="s">
        <v>28</v>
      </c>
      <c r="N6" s="6" t="s">
        <v>29</v>
      </c>
    </row>
    <row r="7" customFormat="false" ht="57" hidden="false" customHeight="true" outlineLevel="0" collapsed="false">
      <c r="A7" s="5" t="s">
        <v>30</v>
      </c>
      <c r="B7" s="5" t="s">
        <v>31</v>
      </c>
      <c r="C7" s="5" t="s">
        <v>19</v>
      </c>
      <c r="D7" s="5" t="s">
        <v>20</v>
      </c>
      <c r="E7" s="5" t="s">
        <v>21</v>
      </c>
      <c r="F7" s="5" t="s">
        <v>22</v>
      </c>
      <c r="G7" s="5" t="s">
        <v>32</v>
      </c>
      <c r="H7" s="5" t="s">
        <v>24</v>
      </c>
      <c r="I7" s="5" t="s">
        <v>33</v>
      </c>
      <c r="J7" s="5"/>
      <c r="K7" s="5" t="s">
        <v>34</v>
      </c>
      <c r="L7" s="5" t="s">
        <v>35</v>
      </c>
      <c r="M7" s="5"/>
      <c r="N7" s="6" t="s">
        <v>29</v>
      </c>
    </row>
    <row r="8" customFormat="false" ht="57" hidden="false" customHeight="true" outlineLevel="0" collapsed="false">
      <c r="A8" s="5" t="s">
        <v>36</v>
      </c>
      <c r="B8" s="5" t="s">
        <v>37</v>
      </c>
      <c r="C8" s="5" t="s">
        <v>19</v>
      </c>
      <c r="D8" s="5" t="s">
        <v>20</v>
      </c>
      <c r="E8" s="5" t="s">
        <v>21</v>
      </c>
      <c r="F8" s="5" t="s">
        <v>22</v>
      </c>
      <c r="G8" s="5" t="s">
        <v>38</v>
      </c>
      <c r="H8" s="5" t="s">
        <v>24</v>
      </c>
      <c r="I8" s="5" t="s">
        <v>39</v>
      </c>
      <c r="J8" s="5"/>
      <c r="K8" s="5" t="s">
        <v>40</v>
      </c>
      <c r="L8" s="5" t="s">
        <v>35</v>
      </c>
      <c r="M8" s="5"/>
      <c r="N8" s="6" t="s">
        <v>29</v>
      </c>
    </row>
    <row r="9" customFormat="false" ht="57" hidden="false" customHeight="true" outlineLevel="0" collapsed="false">
      <c r="A9" s="5" t="s">
        <v>41</v>
      </c>
      <c r="B9" s="5" t="s">
        <v>42</v>
      </c>
      <c r="C9" s="5" t="s">
        <v>19</v>
      </c>
      <c r="D9" s="5" t="s">
        <v>20</v>
      </c>
      <c r="E9" s="5" t="s">
        <v>21</v>
      </c>
      <c r="F9" s="5" t="s">
        <v>43</v>
      </c>
      <c r="G9" s="5" t="s">
        <v>32</v>
      </c>
      <c r="H9" s="5" t="s">
        <v>24</v>
      </c>
      <c r="I9" s="5" t="s">
        <v>44</v>
      </c>
      <c r="J9" s="5"/>
      <c r="K9" s="5" t="s">
        <v>45</v>
      </c>
      <c r="L9" s="5" t="s">
        <v>35</v>
      </c>
      <c r="M9" s="5"/>
      <c r="N9" s="6" t="s">
        <v>29</v>
      </c>
    </row>
    <row r="10" customFormat="false" ht="57" hidden="false" customHeight="true" outlineLevel="0" collapsed="false">
      <c r="A10" s="5" t="s">
        <v>46</v>
      </c>
      <c r="B10" s="5" t="s">
        <v>47</v>
      </c>
      <c r="C10" s="5" t="s">
        <v>19</v>
      </c>
      <c r="D10" s="5" t="s">
        <v>20</v>
      </c>
      <c r="E10" s="5" t="s">
        <v>21</v>
      </c>
      <c r="F10" s="5" t="s">
        <v>48</v>
      </c>
      <c r="G10" s="5" t="s">
        <v>32</v>
      </c>
      <c r="H10" s="5" t="s">
        <v>24</v>
      </c>
      <c r="I10" s="5" t="s">
        <v>49</v>
      </c>
      <c r="J10" s="5"/>
      <c r="K10" s="5" t="s">
        <v>50</v>
      </c>
      <c r="L10" s="5" t="s">
        <v>27</v>
      </c>
      <c r="M10" s="5" t="s">
        <v>28</v>
      </c>
      <c r="N10" s="6" t="s">
        <v>29</v>
      </c>
    </row>
    <row r="11" customFormat="false" ht="57" hidden="false" customHeight="true" outlineLevel="0" collapsed="false">
      <c r="A11" s="5" t="s">
        <v>51</v>
      </c>
      <c r="B11" s="5" t="s">
        <v>52</v>
      </c>
      <c r="C11" s="5" t="s">
        <v>53</v>
      </c>
      <c r="D11" s="5" t="s">
        <v>20</v>
      </c>
      <c r="E11" s="5" t="s">
        <v>21</v>
      </c>
      <c r="F11" s="5" t="s">
        <v>22</v>
      </c>
      <c r="G11" s="5" t="s">
        <v>23</v>
      </c>
      <c r="H11" s="5" t="s">
        <v>24</v>
      </c>
      <c r="I11" s="5" t="s">
        <v>54</v>
      </c>
      <c r="J11" s="5" t="s">
        <v>55</v>
      </c>
      <c r="K11" s="5" t="s">
        <v>56</v>
      </c>
      <c r="L11" s="5" t="s">
        <v>35</v>
      </c>
      <c r="M11" s="5"/>
      <c r="N11" s="6" t="s">
        <v>29</v>
      </c>
    </row>
    <row r="12" customFormat="false" ht="57" hidden="false" customHeight="true" outlineLevel="0" collapsed="false">
      <c r="A12" s="5" t="s">
        <v>57</v>
      </c>
      <c r="B12" s="5" t="s">
        <v>58</v>
      </c>
      <c r="C12" s="5" t="s">
        <v>53</v>
      </c>
      <c r="D12" s="5" t="s">
        <v>20</v>
      </c>
      <c r="E12" s="5" t="s">
        <v>21</v>
      </c>
      <c r="F12" s="5" t="s">
        <v>22</v>
      </c>
      <c r="G12" s="5" t="s">
        <v>32</v>
      </c>
      <c r="H12" s="5" t="s">
        <v>24</v>
      </c>
      <c r="I12" s="5" t="s">
        <v>54</v>
      </c>
      <c r="J12" s="5" t="s">
        <v>59</v>
      </c>
      <c r="K12" s="5" t="s">
        <v>60</v>
      </c>
      <c r="L12" s="5" t="s">
        <v>35</v>
      </c>
      <c r="M12" s="5" t="s">
        <v>61</v>
      </c>
      <c r="N12" s="6" t="s">
        <v>29</v>
      </c>
    </row>
    <row r="13" customFormat="false" ht="57" hidden="false" customHeight="true" outlineLevel="0" collapsed="false">
      <c r="A13" s="5" t="s">
        <v>62</v>
      </c>
      <c r="B13" s="5" t="s">
        <v>63</v>
      </c>
      <c r="C13" s="5" t="s">
        <v>53</v>
      </c>
      <c r="D13" s="5" t="s">
        <v>20</v>
      </c>
      <c r="E13" s="5" t="s">
        <v>21</v>
      </c>
      <c r="F13" s="5" t="s">
        <v>22</v>
      </c>
      <c r="G13" s="5" t="s">
        <v>32</v>
      </c>
      <c r="H13" s="5" t="s">
        <v>24</v>
      </c>
      <c r="I13" s="5" t="s">
        <v>54</v>
      </c>
      <c r="J13" s="5" t="s">
        <v>64</v>
      </c>
      <c r="K13" s="5" t="s">
        <v>65</v>
      </c>
      <c r="L13" s="5" t="s">
        <v>35</v>
      </c>
      <c r="M13" s="5" t="s">
        <v>61</v>
      </c>
      <c r="N13" s="6" t="s">
        <v>29</v>
      </c>
    </row>
    <row r="14" customFormat="false" ht="57" hidden="false" customHeight="true" outlineLevel="0" collapsed="false">
      <c r="A14" s="5" t="s">
        <v>66</v>
      </c>
      <c r="B14" s="5" t="s">
        <v>67</v>
      </c>
      <c r="C14" s="5" t="s">
        <v>53</v>
      </c>
      <c r="D14" s="5" t="s">
        <v>20</v>
      </c>
      <c r="E14" s="5" t="s">
        <v>21</v>
      </c>
      <c r="F14" s="5" t="s">
        <v>22</v>
      </c>
      <c r="G14" s="5" t="s">
        <v>32</v>
      </c>
      <c r="H14" s="5" t="s">
        <v>24</v>
      </c>
      <c r="I14" s="5" t="s">
        <v>54</v>
      </c>
      <c r="J14" s="5" t="s">
        <v>68</v>
      </c>
      <c r="K14" s="5" t="s">
        <v>69</v>
      </c>
      <c r="L14" s="5" t="s">
        <v>35</v>
      </c>
      <c r="M14" s="5" t="s">
        <v>61</v>
      </c>
      <c r="N14" s="6" t="s">
        <v>29</v>
      </c>
    </row>
    <row r="15" customFormat="false" ht="57" hidden="false" customHeight="true" outlineLevel="0" collapsed="false">
      <c r="A15" s="5" t="s">
        <v>70</v>
      </c>
      <c r="B15" s="5" t="s">
        <v>71</v>
      </c>
      <c r="C15" s="5" t="s">
        <v>53</v>
      </c>
      <c r="D15" s="5" t="s">
        <v>20</v>
      </c>
      <c r="E15" s="5" t="s">
        <v>21</v>
      </c>
      <c r="F15" s="5" t="s">
        <v>43</v>
      </c>
      <c r="G15" s="5" t="s">
        <v>72</v>
      </c>
      <c r="H15" s="5" t="s">
        <v>24</v>
      </c>
      <c r="I15" s="5" t="s">
        <v>54</v>
      </c>
      <c r="J15" s="5" t="s">
        <v>73</v>
      </c>
      <c r="K15" s="5" t="s">
        <v>74</v>
      </c>
      <c r="L15" s="5" t="s">
        <v>35</v>
      </c>
      <c r="M15" s="5" t="s">
        <v>61</v>
      </c>
      <c r="N15" s="6" t="s">
        <v>29</v>
      </c>
    </row>
    <row r="16" customFormat="false" ht="57" hidden="false" customHeight="true" outlineLevel="0" collapsed="false">
      <c r="A16" s="5" t="s">
        <v>75</v>
      </c>
      <c r="B16" s="5" t="s">
        <v>76</v>
      </c>
      <c r="C16" s="5" t="s">
        <v>53</v>
      </c>
      <c r="D16" s="5" t="s">
        <v>20</v>
      </c>
      <c r="E16" s="5" t="s">
        <v>21</v>
      </c>
      <c r="F16" s="5" t="s">
        <v>43</v>
      </c>
      <c r="G16" s="5" t="s">
        <v>72</v>
      </c>
      <c r="H16" s="5" t="s">
        <v>24</v>
      </c>
      <c r="I16" s="5" t="s">
        <v>54</v>
      </c>
      <c r="J16" s="5" t="s">
        <v>77</v>
      </c>
      <c r="K16" s="5" t="s">
        <v>78</v>
      </c>
      <c r="L16" s="5" t="s">
        <v>35</v>
      </c>
      <c r="M16" s="5" t="s">
        <v>61</v>
      </c>
      <c r="N16" s="6" t="s">
        <v>29</v>
      </c>
    </row>
    <row r="17" customFormat="false" ht="57" hidden="false" customHeight="true" outlineLevel="0" collapsed="false">
      <c r="A17" s="5" t="s">
        <v>79</v>
      </c>
      <c r="B17" s="5" t="s">
        <v>80</v>
      </c>
      <c r="C17" s="5" t="s">
        <v>53</v>
      </c>
      <c r="D17" s="5" t="s">
        <v>20</v>
      </c>
      <c r="E17" s="5" t="s">
        <v>21</v>
      </c>
      <c r="F17" s="5" t="s">
        <v>43</v>
      </c>
      <c r="G17" s="5" t="s">
        <v>81</v>
      </c>
      <c r="H17" s="5" t="s">
        <v>24</v>
      </c>
      <c r="I17" s="5" t="s">
        <v>54</v>
      </c>
      <c r="J17" s="5" t="s">
        <v>82</v>
      </c>
      <c r="K17" s="5" t="s">
        <v>83</v>
      </c>
      <c r="L17" s="5" t="s">
        <v>35</v>
      </c>
      <c r="M17" s="5"/>
      <c r="N17" s="6" t="s">
        <v>29</v>
      </c>
    </row>
    <row r="18" customFormat="false" ht="57" hidden="false" customHeight="true" outlineLevel="0" collapsed="false">
      <c r="A18" s="5" t="s">
        <v>84</v>
      </c>
      <c r="B18" s="5" t="s">
        <v>85</v>
      </c>
      <c r="C18" s="5" t="s">
        <v>53</v>
      </c>
      <c r="D18" s="5" t="s">
        <v>20</v>
      </c>
      <c r="E18" s="5" t="s">
        <v>21</v>
      </c>
      <c r="F18" s="5" t="s">
        <v>43</v>
      </c>
      <c r="G18" s="5" t="s">
        <v>81</v>
      </c>
      <c r="H18" s="5" t="s">
        <v>24</v>
      </c>
      <c r="I18" s="5" t="s">
        <v>54</v>
      </c>
      <c r="J18" s="5" t="s">
        <v>86</v>
      </c>
      <c r="K18" s="5" t="s">
        <v>87</v>
      </c>
      <c r="L18" s="5" t="s">
        <v>35</v>
      </c>
      <c r="M18" s="5"/>
      <c r="N18" s="6" t="s">
        <v>29</v>
      </c>
    </row>
    <row r="19" customFormat="false" ht="57" hidden="false" customHeight="true" outlineLevel="0" collapsed="false">
      <c r="A19" s="5" t="s">
        <v>88</v>
      </c>
      <c r="B19" s="5" t="s">
        <v>89</v>
      </c>
      <c r="C19" s="5" t="s">
        <v>53</v>
      </c>
      <c r="D19" s="5" t="s">
        <v>20</v>
      </c>
      <c r="E19" s="5" t="s">
        <v>21</v>
      </c>
      <c r="F19" s="5" t="s">
        <v>43</v>
      </c>
      <c r="G19" s="5" t="s">
        <v>72</v>
      </c>
      <c r="H19" s="5" t="s">
        <v>24</v>
      </c>
      <c r="I19" s="5" t="s">
        <v>54</v>
      </c>
      <c r="J19" s="5" t="s">
        <v>90</v>
      </c>
      <c r="K19" s="5" t="s">
        <v>91</v>
      </c>
      <c r="L19" s="5" t="s">
        <v>35</v>
      </c>
      <c r="M19" s="5"/>
      <c r="N19" s="6" t="s">
        <v>29</v>
      </c>
    </row>
    <row r="20" customFormat="false" ht="57" hidden="false" customHeight="true" outlineLevel="0" collapsed="false">
      <c r="A20" s="5" t="s">
        <v>92</v>
      </c>
      <c r="B20" s="5" t="s">
        <v>93</v>
      </c>
      <c r="C20" s="5" t="s">
        <v>53</v>
      </c>
      <c r="D20" s="5" t="s">
        <v>20</v>
      </c>
      <c r="E20" s="5" t="s">
        <v>21</v>
      </c>
      <c r="F20" s="5" t="s">
        <v>43</v>
      </c>
      <c r="G20" s="5" t="s">
        <v>72</v>
      </c>
      <c r="H20" s="5" t="s">
        <v>24</v>
      </c>
      <c r="I20" s="5" t="s">
        <v>54</v>
      </c>
      <c r="J20" s="5" t="s">
        <v>94</v>
      </c>
      <c r="K20" s="5" t="s">
        <v>95</v>
      </c>
      <c r="L20" s="5" t="s">
        <v>27</v>
      </c>
      <c r="M20" s="5" t="s">
        <v>96</v>
      </c>
      <c r="N20" s="6" t="s">
        <v>29</v>
      </c>
    </row>
    <row r="21" customFormat="false" ht="57" hidden="false" customHeight="true" outlineLevel="0" collapsed="false">
      <c r="A21" s="5" t="s">
        <v>97</v>
      </c>
      <c r="B21" s="5" t="s">
        <v>98</v>
      </c>
      <c r="C21" s="5" t="s">
        <v>99</v>
      </c>
      <c r="D21" s="5" t="s">
        <v>20</v>
      </c>
      <c r="E21" s="5" t="s">
        <v>21</v>
      </c>
      <c r="F21" s="5" t="s">
        <v>22</v>
      </c>
      <c r="G21" s="5" t="s">
        <v>32</v>
      </c>
      <c r="H21" s="5" t="s">
        <v>24</v>
      </c>
      <c r="I21" s="5" t="s">
        <v>100</v>
      </c>
      <c r="J21" s="5"/>
      <c r="K21" s="5" t="s">
        <v>101</v>
      </c>
      <c r="L21" s="5" t="s">
        <v>35</v>
      </c>
      <c r="M21" s="5"/>
      <c r="N21" s="6" t="s">
        <v>29</v>
      </c>
    </row>
    <row r="22" customFormat="false" ht="57" hidden="false" customHeight="true" outlineLevel="0" collapsed="false">
      <c r="A22" s="5" t="s">
        <v>102</v>
      </c>
      <c r="B22" s="5" t="s">
        <v>103</v>
      </c>
      <c r="C22" s="5" t="s">
        <v>99</v>
      </c>
      <c r="D22" s="5" t="s">
        <v>20</v>
      </c>
      <c r="E22" s="5" t="s">
        <v>21</v>
      </c>
      <c r="F22" s="5" t="s">
        <v>22</v>
      </c>
      <c r="G22" s="5" t="s">
        <v>32</v>
      </c>
      <c r="H22" s="5" t="s">
        <v>24</v>
      </c>
      <c r="I22" s="5" t="s">
        <v>104</v>
      </c>
      <c r="J22" s="5"/>
      <c r="K22" s="5" t="s">
        <v>105</v>
      </c>
      <c r="L22" s="5" t="s">
        <v>35</v>
      </c>
      <c r="M22" s="5"/>
      <c r="N22" s="6" t="s">
        <v>29</v>
      </c>
    </row>
    <row r="23" customFormat="false" ht="57" hidden="false" customHeight="true" outlineLevel="0" collapsed="false">
      <c r="A23" s="5" t="s">
        <v>106</v>
      </c>
      <c r="B23" s="5" t="s">
        <v>107</v>
      </c>
      <c r="C23" s="5" t="s">
        <v>99</v>
      </c>
      <c r="D23" s="5" t="s">
        <v>20</v>
      </c>
      <c r="E23" s="5" t="s">
        <v>21</v>
      </c>
      <c r="F23" s="5" t="s">
        <v>22</v>
      </c>
      <c r="G23" s="5" t="s">
        <v>32</v>
      </c>
      <c r="H23" s="5" t="s">
        <v>24</v>
      </c>
      <c r="I23" s="5" t="s">
        <v>108</v>
      </c>
      <c r="J23" s="5"/>
      <c r="K23" s="5" t="s">
        <v>109</v>
      </c>
      <c r="L23" s="5" t="s">
        <v>35</v>
      </c>
      <c r="M23" s="5"/>
      <c r="N23" s="6" t="s">
        <v>29</v>
      </c>
    </row>
    <row r="24" customFormat="false" ht="57" hidden="false" customHeight="true" outlineLevel="0" collapsed="false">
      <c r="A24" s="5" t="s">
        <v>110</v>
      </c>
      <c r="B24" s="5" t="s">
        <v>111</v>
      </c>
      <c r="C24" s="5" t="s">
        <v>99</v>
      </c>
      <c r="D24" s="5" t="s">
        <v>20</v>
      </c>
      <c r="E24" s="5" t="s">
        <v>21</v>
      </c>
      <c r="F24" s="5" t="s">
        <v>43</v>
      </c>
      <c r="G24" s="5" t="s">
        <v>32</v>
      </c>
      <c r="H24" s="5" t="s">
        <v>24</v>
      </c>
      <c r="I24" s="5" t="s">
        <v>112</v>
      </c>
      <c r="J24" s="5"/>
      <c r="K24" s="5" t="s">
        <v>113</v>
      </c>
      <c r="L24" s="5" t="s">
        <v>35</v>
      </c>
      <c r="M24" s="5"/>
      <c r="N24" s="6" t="s">
        <v>29</v>
      </c>
    </row>
    <row r="25" customFormat="false" ht="57" hidden="false" customHeight="true" outlineLevel="0" collapsed="false">
      <c r="A25" s="5" t="s">
        <v>114</v>
      </c>
      <c r="B25" s="5" t="s">
        <v>115</v>
      </c>
      <c r="C25" s="5" t="s">
        <v>99</v>
      </c>
      <c r="D25" s="5" t="s">
        <v>20</v>
      </c>
      <c r="E25" s="5" t="s">
        <v>21</v>
      </c>
      <c r="F25" s="5" t="s">
        <v>43</v>
      </c>
      <c r="G25" s="5" t="s">
        <v>72</v>
      </c>
      <c r="H25" s="5" t="s">
        <v>24</v>
      </c>
      <c r="I25" s="5" t="s">
        <v>116</v>
      </c>
      <c r="J25" s="5"/>
      <c r="K25" s="5" t="s">
        <v>117</v>
      </c>
      <c r="L25" s="5" t="s">
        <v>35</v>
      </c>
      <c r="M25" s="5"/>
      <c r="N25" s="6" t="s">
        <v>29</v>
      </c>
    </row>
    <row r="26" customFormat="false" ht="57" hidden="false" customHeight="true" outlineLevel="0" collapsed="false">
      <c r="A26" s="5" t="s">
        <v>118</v>
      </c>
      <c r="B26" s="5" t="s">
        <v>119</v>
      </c>
      <c r="C26" s="5" t="s">
        <v>99</v>
      </c>
      <c r="D26" s="5" t="s">
        <v>20</v>
      </c>
      <c r="E26" s="5" t="s">
        <v>21</v>
      </c>
      <c r="F26" s="5" t="s">
        <v>22</v>
      </c>
      <c r="G26" s="5" t="s">
        <v>32</v>
      </c>
      <c r="H26" s="5" t="s">
        <v>24</v>
      </c>
      <c r="I26" s="5" t="s">
        <v>120</v>
      </c>
      <c r="J26" s="5"/>
      <c r="K26" s="5" t="s">
        <v>121</v>
      </c>
      <c r="L26" s="5" t="s">
        <v>35</v>
      </c>
      <c r="M26" s="5"/>
      <c r="N26" s="6" t="s">
        <v>29</v>
      </c>
    </row>
    <row r="27" customFormat="false" ht="57" hidden="false" customHeight="true" outlineLevel="0" collapsed="false">
      <c r="A27" s="5" t="s">
        <v>122</v>
      </c>
      <c r="B27" s="5" t="s">
        <v>123</v>
      </c>
      <c r="C27" s="5" t="s">
        <v>124</v>
      </c>
      <c r="D27" s="5" t="s">
        <v>20</v>
      </c>
      <c r="E27" s="5" t="s">
        <v>21</v>
      </c>
      <c r="F27" s="5" t="s">
        <v>22</v>
      </c>
      <c r="G27" s="5" t="s">
        <v>32</v>
      </c>
      <c r="H27" s="5" t="s">
        <v>24</v>
      </c>
      <c r="I27" s="5" t="s">
        <v>125</v>
      </c>
      <c r="J27" s="5"/>
      <c r="K27" s="5" t="s">
        <v>126</v>
      </c>
      <c r="L27" s="5" t="s">
        <v>35</v>
      </c>
      <c r="M27" s="5"/>
      <c r="N27" s="6" t="s">
        <v>29</v>
      </c>
    </row>
    <row r="28" customFormat="false" ht="57" hidden="false" customHeight="true" outlineLevel="0" collapsed="false">
      <c r="A28" s="5" t="s">
        <v>127</v>
      </c>
      <c r="B28" s="5" t="s">
        <v>128</v>
      </c>
      <c r="C28" s="5" t="s">
        <v>124</v>
      </c>
      <c r="D28" s="5" t="s">
        <v>20</v>
      </c>
      <c r="E28" s="5" t="s">
        <v>21</v>
      </c>
      <c r="F28" s="5" t="s">
        <v>22</v>
      </c>
      <c r="G28" s="5" t="s">
        <v>23</v>
      </c>
      <c r="H28" s="5" t="s">
        <v>24</v>
      </c>
      <c r="I28" s="5" t="s">
        <v>129</v>
      </c>
      <c r="J28" s="5"/>
      <c r="K28" s="5" t="s">
        <v>130</v>
      </c>
      <c r="L28" s="5" t="s">
        <v>35</v>
      </c>
      <c r="M28" s="5"/>
      <c r="N28" s="6" t="s">
        <v>29</v>
      </c>
    </row>
    <row r="29" customFormat="false" ht="57" hidden="false" customHeight="true" outlineLevel="0" collapsed="false">
      <c r="A29" s="5" t="s">
        <v>131</v>
      </c>
      <c r="B29" s="5" t="s">
        <v>132</v>
      </c>
      <c r="C29" s="5" t="s">
        <v>124</v>
      </c>
      <c r="D29" s="5" t="s">
        <v>20</v>
      </c>
      <c r="E29" s="5" t="s">
        <v>21</v>
      </c>
      <c r="F29" s="5" t="s">
        <v>22</v>
      </c>
      <c r="G29" s="5" t="s">
        <v>32</v>
      </c>
      <c r="H29" s="5" t="s">
        <v>24</v>
      </c>
      <c r="I29" s="5" t="s">
        <v>133</v>
      </c>
      <c r="J29" s="5"/>
      <c r="K29" s="5" t="s">
        <v>134</v>
      </c>
      <c r="L29" s="5" t="s">
        <v>35</v>
      </c>
      <c r="M29" s="5"/>
      <c r="N29" s="6" t="s">
        <v>29</v>
      </c>
    </row>
    <row r="30" customFormat="false" ht="57" hidden="false" customHeight="true" outlineLevel="0" collapsed="false">
      <c r="A30" s="5" t="s">
        <v>135</v>
      </c>
      <c r="B30" s="5" t="s">
        <v>136</v>
      </c>
      <c r="C30" s="5" t="s">
        <v>124</v>
      </c>
      <c r="D30" s="5" t="s">
        <v>20</v>
      </c>
      <c r="E30" s="5" t="s">
        <v>137</v>
      </c>
      <c r="F30" s="5" t="s">
        <v>22</v>
      </c>
      <c r="G30" s="5" t="s">
        <v>32</v>
      </c>
      <c r="H30" s="5" t="s">
        <v>24</v>
      </c>
      <c r="I30" s="5" t="s">
        <v>138</v>
      </c>
      <c r="J30" s="5"/>
      <c r="K30" s="5" t="s">
        <v>139</v>
      </c>
      <c r="L30" s="5" t="s">
        <v>35</v>
      </c>
      <c r="M30" s="5" t="s">
        <v>140</v>
      </c>
      <c r="N30" s="6" t="s">
        <v>29</v>
      </c>
    </row>
    <row r="31" customFormat="false" ht="57" hidden="false" customHeight="true" outlineLevel="0" collapsed="false">
      <c r="A31" s="5" t="s">
        <v>141</v>
      </c>
      <c r="B31" s="5" t="s">
        <v>142</v>
      </c>
      <c r="C31" s="5" t="s">
        <v>124</v>
      </c>
      <c r="D31" s="5" t="s">
        <v>20</v>
      </c>
      <c r="E31" s="5" t="s">
        <v>21</v>
      </c>
      <c r="F31" s="5" t="s">
        <v>43</v>
      </c>
      <c r="G31" s="5" t="s">
        <v>72</v>
      </c>
      <c r="H31" s="5" t="s">
        <v>24</v>
      </c>
      <c r="I31" s="5" t="s">
        <v>143</v>
      </c>
      <c r="J31" s="5"/>
      <c r="K31" s="5" t="s">
        <v>144</v>
      </c>
      <c r="L31" s="5" t="s">
        <v>35</v>
      </c>
      <c r="M31" s="5"/>
      <c r="N31" s="6" t="s">
        <v>29</v>
      </c>
    </row>
    <row r="32" customFormat="false" ht="57" hidden="false" customHeight="true" outlineLevel="0" collapsed="false">
      <c r="A32" s="5" t="s">
        <v>145</v>
      </c>
      <c r="B32" s="5" t="s">
        <v>146</v>
      </c>
      <c r="C32" s="5" t="s">
        <v>147</v>
      </c>
      <c r="D32" s="5" t="s">
        <v>20</v>
      </c>
      <c r="E32" s="5" t="s">
        <v>21</v>
      </c>
      <c r="F32" s="5" t="s">
        <v>22</v>
      </c>
      <c r="G32" s="5" t="s">
        <v>32</v>
      </c>
      <c r="H32" s="5" t="s">
        <v>148</v>
      </c>
      <c r="I32" s="5" t="s">
        <v>149</v>
      </c>
      <c r="J32" s="5"/>
      <c r="K32" s="5" t="s">
        <v>150</v>
      </c>
      <c r="L32" s="5" t="s">
        <v>35</v>
      </c>
      <c r="M32" s="5"/>
      <c r="N32" s="6" t="s">
        <v>29</v>
      </c>
    </row>
    <row r="33" customFormat="false" ht="57" hidden="false" customHeight="true" outlineLevel="0" collapsed="false">
      <c r="A33" s="5" t="s">
        <v>151</v>
      </c>
      <c r="B33" s="5" t="s">
        <v>152</v>
      </c>
      <c r="C33" s="5" t="s">
        <v>147</v>
      </c>
      <c r="D33" s="5" t="s">
        <v>20</v>
      </c>
      <c r="E33" s="5" t="s">
        <v>21</v>
      </c>
      <c r="F33" s="5" t="s">
        <v>22</v>
      </c>
      <c r="G33" s="5" t="s">
        <v>32</v>
      </c>
      <c r="H33" s="5" t="s">
        <v>148</v>
      </c>
      <c r="I33" s="5" t="s">
        <v>153</v>
      </c>
      <c r="J33" s="5"/>
      <c r="K33" s="5" t="s">
        <v>154</v>
      </c>
      <c r="L33" s="5" t="s">
        <v>35</v>
      </c>
      <c r="M33" s="5"/>
      <c r="N33" s="6" t="s">
        <v>29</v>
      </c>
    </row>
    <row r="34" customFormat="false" ht="57" hidden="false" customHeight="true" outlineLevel="0" collapsed="false">
      <c r="A34" s="5" t="s">
        <v>155</v>
      </c>
      <c r="B34" s="5" t="s">
        <v>156</v>
      </c>
      <c r="C34" s="5" t="s">
        <v>147</v>
      </c>
      <c r="D34" s="5" t="s">
        <v>20</v>
      </c>
      <c r="E34" s="5" t="s">
        <v>21</v>
      </c>
      <c r="F34" s="5" t="s">
        <v>43</v>
      </c>
      <c r="G34" s="5" t="s">
        <v>32</v>
      </c>
      <c r="H34" s="5" t="s">
        <v>148</v>
      </c>
      <c r="I34" s="5" t="s">
        <v>157</v>
      </c>
      <c r="J34" s="5"/>
      <c r="K34" s="5" t="s">
        <v>158</v>
      </c>
      <c r="L34" s="5" t="s">
        <v>35</v>
      </c>
      <c r="M34" s="5"/>
      <c r="N34" s="6" t="s">
        <v>29</v>
      </c>
    </row>
    <row r="35" customFormat="false" ht="34.5" hidden="false" customHeight="true" outlineLevel="0" collapsed="false">
      <c r="A35" s="5" t="s">
        <v>159</v>
      </c>
      <c r="B35" s="5" t="s">
        <v>160</v>
      </c>
      <c r="C35" s="5" t="s">
        <v>161</v>
      </c>
      <c r="D35" s="5" t="s">
        <v>20</v>
      </c>
      <c r="E35" s="5" t="s">
        <v>21</v>
      </c>
      <c r="F35" s="5" t="s">
        <v>22</v>
      </c>
      <c r="G35" s="5" t="s">
        <v>38</v>
      </c>
      <c r="H35" s="5" t="s">
        <v>162</v>
      </c>
      <c r="I35" s="5" t="s">
        <v>163</v>
      </c>
      <c r="J35" s="5"/>
      <c r="K35" s="5" t="s">
        <v>164</v>
      </c>
      <c r="L35" s="5" t="s">
        <v>27</v>
      </c>
      <c r="M35" s="5" t="s">
        <v>28</v>
      </c>
      <c r="N35" s="6" t="s">
        <v>29</v>
      </c>
    </row>
    <row r="36" customFormat="false" ht="34.5" hidden="false" customHeight="true" outlineLevel="0" collapsed="false">
      <c r="A36" s="5" t="s">
        <v>165</v>
      </c>
      <c r="B36" s="5" t="s">
        <v>166</v>
      </c>
      <c r="C36" s="5" t="s">
        <v>161</v>
      </c>
      <c r="D36" s="5" t="s">
        <v>20</v>
      </c>
      <c r="E36" s="5" t="s">
        <v>21</v>
      </c>
      <c r="F36" s="5" t="s">
        <v>22</v>
      </c>
      <c r="G36" s="5" t="s">
        <v>38</v>
      </c>
      <c r="H36" s="5" t="s">
        <v>167</v>
      </c>
      <c r="I36" s="5" t="s">
        <v>168</v>
      </c>
      <c r="J36" s="5"/>
      <c r="K36" s="5" t="s">
        <v>169</v>
      </c>
      <c r="L36" s="5" t="s">
        <v>27</v>
      </c>
      <c r="M36" s="5" t="s">
        <v>28</v>
      </c>
      <c r="N36" s="6" t="s">
        <v>29</v>
      </c>
    </row>
    <row r="37" customFormat="false" ht="34.5" hidden="false" customHeight="true" outlineLevel="0" collapsed="false">
      <c r="A37" s="5" t="s">
        <v>170</v>
      </c>
      <c r="B37" s="5" t="s">
        <v>171</v>
      </c>
      <c r="C37" s="5" t="s">
        <v>161</v>
      </c>
      <c r="D37" s="5" t="s">
        <v>20</v>
      </c>
      <c r="E37" s="5" t="s">
        <v>21</v>
      </c>
      <c r="F37" s="5" t="s">
        <v>22</v>
      </c>
      <c r="G37" s="5" t="s">
        <v>32</v>
      </c>
      <c r="H37" s="5" t="s">
        <v>172</v>
      </c>
      <c r="I37" s="5" t="s">
        <v>173</v>
      </c>
      <c r="J37" s="5"/>
      <c r="K37" s="5" t="s">
        <v>174</v>
      </c>
      <c r="L37" s="5" t="s">
        <v>27</v>
      </c>
      <c r="M37" s="5" t="s">
        <v>175</v>
      </c>
      <c r="N37" s="6" t="s">
        <v>29</v>
      </c>
    </row>
    <row r="38" customFormat="false" ht="45.75" hidden="false" customHeight="true" outlineLevel="0" collapsed="false">
      <c r="A38" s="5" t="s">
        <v>176</v>
      </c>
      <c r="B38" s="5" t="s">
        <v>177</v>
      </c>
      <c r="C38" s="5" t="s">
        <v>161</v>
      </c>
      <c r="D38" s="5" t="s">
        <v>20</v>
      </c>
      <c r="E38" s="5" t="s">
        <v>21</v>
      </c>
      <c r="F38" s="5" t="s">
        <v>43</v>
      </c>
      <c r="G38" s="5" t="s">
        <v>32</v>
      </c>
      <c r="H38" s="5" t="s">
        <v>178</v>
      </c>
      <c r="I38" s="5" t="s">
        <v>179</v>
      </c>
      <c r="J38" s="5"/>
      <c r="K38" s="5" t="s">
        <v>180</v>
      </c>
      <c r="L38" s="5" t="s">
        <v>27</v>
      </c>
      <c r="M38" s="5" t="s">
        <v>175</v>
      </c>
      <c r="N38" s="6" t="s">
        <v>29</v>
      </c>
    </row>
    <row r="39" customFormat="false" ht="34.5" hidden="false" customHeight="true" outlineLevel="0" collapsed="false">
      <c r="A39" s="5" t="s">
        <v>181</v>
      </c>
      <c r="B39" s="5" t="s">
        <v>182</v>
      </c>
      <c r="C39" s="5" t="s">
        <v>161</v>
      </c>
      <c r="D39" s="5" t="s">
        <v>20</v>
      </c>
      <c r="E39" s="5" t="s">
        <v>21</v>
      </c>
      <c r="F39" s="5" t="s">
        <v>22</v>
      </c>
      <c r="G39" s="5" t="s">
        <v>32</v>
      </c>
      <c r="H39" s="5" t="s">
        <v>183</v>
      </c>
      <c r="I39" s="5" t="s">
        <v>184</v>
      </c>
      <c r="J39" s="5"/>
      <c r="K39" s="5" t="s">
        <v>185</v>
      </c>
      <c r="L39" s="5" t="s">
        <v>27</v>
      </c>
      <c r="M39" s="5" t="s">
        <v>28</v>
      </c>
      <c r="N39" s="6" t="s">
        <v>29</v>
      </c>
    </row>
    <row r="40" customFormat="false" ht="45.75" hidden="false" customHeight="true" outlineLevel="0" collapsed="false">
      <c r="A40" s="5" t="s">
        <v>186</v>
      </c>
      <c r="B40" s="5" t="s">
        <v>187</v>
      </c>
      <c r="C40" s="5" t="s">
        <v>161</v>
      </c>
      <c r="D40" s="5" t="s">
        <v>20</v>
      </c>
      <c r="E40" s="5" t="s">
        <v>21</v>
      </c>
      <c r="F40" s="5" t="s">
        <v>43</v>
      </c>
      <c r="G40" s="5" t="s">
        <v>32</v>
      </c>
      <c r="H40" s="5" t="s">
        <v>188</v>
      </c>
      <c r="I40" s="5" t="s">
        <v>189</v>
      </c>
      <c r="J40" s="5"/>
      <c r="K40" s="5" t="s">
        <v>190</v>
      </c>
      <c r="L40" s="5" t="s">
        <v>27</v>
      </c>
      <c r="M40" s="5" t="s">
        <v>28</v>
      </c>
      <c r="N40" s="6" t="s">
        <v>29</v>
      </c>
    </row>
    <row r="41" customFormat="false" ht="57" hidden="false" customHeight="true" outlineLevel="0" collapsed="false">
      <c r="A41" s="5" t="s">
        <v>191</v>
      </c>
      <c r="B41" s="5" t="s">
        <v>192</v>
      </c>
      <c r="C41" s="5" t="s">
        <v>193</v>
      </c>
      <c r="D41" s="5" t="s">
        <v>20</v>
      </c>
      <c r="E41" s="5" t="s">
        <v>21</v>
      </c>
      <c r="F41" s="5" t="s">
        <v>43</v>
      </c>
      <c r="G41" s="5" t="s">
        <v>194</v>
      </c>
      <c r="H41" s="5" t="s">
        <v>195</v>
      </c>
      <c r="I41" s="5" t="s">
        <v>196</v>
      </c>
      <c r="J41" s="5"/>
      <c r="K41" s="5" t="s">
        <v>197</v>
      </c>
      <c r="L41" s="5" t="s">
        <v>35</v>
      </c>
      <c r="M41" s="5"/>
      <c r="N41" s="6" t="s">
        <v>29</v>
      </c>
    </row>
    <row r="42" customFormat="false" ht="68.25" hidden="false" customHeight="true" outlineLevel="0" collapsed="false">
      <c r="A42" s="5" t="s">
        <v>198</v>
      </c>
      <c r="B42" s="5" t="s">
        <v>199</v>
      </c>
      <c r="C42" s="5" t="s">
        <v>193</v>
      </c>
      <c r="D42" s="5" t="s">
        <v>20</v>
      </c>
      <c r="E42" s="5" t="s">
        <v>21</v>
      </c>
      <c r="F42" s="5" t="s">
        <v>48</v>
      </c>
      <c r="G42" s="5" t="s">
        <v>194</v>
      </c>
      <c r="H42" s="5" t="s">
        <v>24</v>
      </c>
      <c r="I42" s="5" t="s">
        <v>200</v>
      </c>
      <c r="J42" s="5"/>
      <c r="K42" s="5" t="s">
        <v>201</v>
      </c>
      <c r="L42" s="5" t="s">
        <v>35</v>
      </c>
      <c r="M42" s="5"/>
      <c r="N42" s="6" t="s">
        <v>29</v>
      </c>
    </row>
    <row r="43" customFormat="false" ht="57" hidden="false" customHeight="true" outlineLevel="0" collapsed="false">
      <c r="A43" s="5" t="s">
        <v>202</v>
      </c>
      <c r="B43" s="5" t="s">
        <v>203</v>
      </c>
      <c r="C43" s="5" t="s">
        <v>193</v>
      </c>
      <c r="D43" s="5" t="s">
        <v>20</v>
      </c>
      <c r="E43" s="5" t="s">
        <v>21</v>
      </c>
      <c r="F43" s="5" t="s">
        <v>48</v>
      </c>
      <c r="G43" s="5" t="s">
        <v>194</v>
      </c>
      <c r="H43" s="5" t="s">
        <v>24</v>
      </c>
      <c r="I43" s="5" t="s">
        <v>204</v>
      </c>
      <c r="J43" s="5"/>
      <c r="K43" s="5" t="s">
        <v>205</v>
      </c>
      <c r="L43" s="5" t="s">
        <v>35</v>
      </c>
      <c r="M43" s="5" t="s">
        <v>206</v>
      </c>
      <c r="N43" s="6" t="s">
        <v>29</v>
      </c>
    </row>
    <row r="44" customFormat="false" ht="57" hidden="false" customHeight="true" outlineLevel="0" collapsed="false"/>
  </sheetData>
  <autoFilter ref="A5:N44"/>
  <mergeCells count="3">
    <mergeCell ref="A1:N1"/>
    <mergeCell ref="A2:N2"/>
    <mergeCell ref="A3:N3"/>
  </mergeCells>
  <conditionalFormatting sqref="N6:N44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</conditionalFormatting>
  <dataValidations count="1">
    <dataValidation allowBlank="true" errorStyle="stop" operator="between" showDropDown="false" showErrorMessage="false" showInputMessage="false" sqref="N6:N44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4"/>
  </cols>
  <sheetData>
    <row r="1" customFormat="false" ht="17.25" hidden="false" customHeight="true" outlineLevel="0" collapsed="false">
      <c r="A1" s="7" t="s">
        <v>207</v>
      </c>
    </row>
    <row r="3" customFormat="false" ht="15" hidden="false" customHeight="true" outlineLevel="0" collapsed="false">
      <c r="A3" s="8" t="s">
        <v>208</v>
      </c>
      <c r="B3" s="8" t="s">
        <v>209</v>
      </c>
    </row>
    <row r="4" customFormat="false" ht="15" hidden="false" customHeight="true" outlineLevel="0" collapsed="false">
      <c r="A4" s="9" t="s">
        <v>210</v>
      </c>
      <c r="B4" s="9" t="n">
        <f aca="false">COUNTIF('Test Cases'!$N$6:$N$44,"Pass")</f>
        <v>0</v>
      </c>
    </row>
    <row r="5" customFormat="false" ht="15" hidden="false" customHeight="true" outlineLevel="0" collapsed="false">
      <c r="A5" s="9" t="s">
        <v>211</v>
      </c>
      <c r="B5" s="9" t="n">
        <f aca="false">COUNTIF('Test Cases'!$N$6:$N$44,"Fail")</f>
        <v>0</v>
      </c>
    </row>
    <row r="6" customFormat="false" ht="15" hidden="false" customHeight="true" outlineLevel="0" collapsed="false">
      <c r="A6" s="9" t="s">
        <v>212</v>
      </c>
      <c r="B6" s="9" t="n">
        <f aca="false">COUNTIF('Test Cases'!$N$6:$N$44,"Blocked")</f>
        <v>0</v>
      </c>
    </row>
    <row r="7" customFormat="false" ht="15" hidden="false" customHeight="true" outlineLevel="0" collapsed="false">
      <c r="A7" s="9" t="s">
        <v>29</v>
      </c>
      <c r="B7" s="9" t="n">
        <f aca="false">COUNTIF('Test Cases'!$N$6:$N$44,"Not Run")</f>
        <v>38</v>
      </c>
    </row>
    <row r="8" customFormat="false" ht="15" hidden="false" customHeight="true" outlineLevel="0" collapsed="false">
      <c r="A8" s="8" t="s">
        <v>213</v>
      </c>
      <c r="B8" s="8" t="n">
        <f aca="false">SUM(B4:B7)</f>
        <v>38</v>
      </c>
    </row>
    <row r="10" customFormat="false" ht="15" hidden="false" customHeight="true" outlineLevel="0" collapsed="false">
      <c r="A10" s="8" t="s">
        <v>214</v>
      </c>
      <c r="B10" s="8" t="s">
        <v>209</v>
      </c>
    </row>
    <row r="11" customFormat="false" ht="15" hidden="false" customHeight="true" outlineLevel="0" collapsed="false">
      <c r="A11" s="9" t="s">
        <v>22</v>
      </c>
      <c r="B11" s="9" t="n">
        <f aca="false">COUNTIF('Test Cases'!$F$6:$F$44,"P1")</f>
        <v>21</v>
      </c>
    </row>
    <row r="12" customFormat="false" ht="15" hidden="false" customHeight="true" outlineLevel="0" collapsed="false">
      <c r="A12" s="9" t="s">
        <v>43</v>
      </c>
      <c r="B12" s="9" t="n">
        <f aca="false">COUNTIF('Test Cases'!$F$6:$F$44,"P2")</f>
        <v>14</v>
      </c>
    </row>
    <row r="13" customFormat="false" ht="15" hidden="false" customHeight="true" outlineLevel="0" collapsed="false">
      <c r="A13" s="9" t="s">
        <v>48</v>
      </c>
      <c r="B13" s="9" t="n">
        <f aca="false">COUNTIF('Test Cases'!$F$6:$F$44,"P3")</f>
        <v>3</v>
      </c>
    </row>
    <row r="14" customFormat="false" ht="15" hidden="false" customHeight="true" outlineLevel="0" collapsed="false">
      <c r="A14" s="8" t="s">
        <v>213</v>
      </c>
      <c r="B14" s="8" t="n">
        <f aca="false">SUM(B11:B13)</f>
        <v>38</v>
      </c>
    </row>
    <row r="16" customFormat="false" ht="15" hidden="false" customHeight="true" outlineLevel="0" collapsed="false">
      <c r="A16" s="8" t="s">
        <v>215</v>
      </c>
      <c r="B16" s="8" t="s">
        <v>209</v>
      </c>
    </row>
    <row r="17" customFormat="false" ht="15" hidden="false" customHeight="true" outlineLevel="0" collapsed="false">
      <c r="A17" s="9" t="s">
        <v>19</v>
      </c>
      <c r="B17" s="9" t="n">
        <f aca="false">COUNTIF('Test Cases'!$C$6:$C$44,"Display and default")</f>
        <v>5</v>
      </c>
    </row>
    <row r="18" customFormat="false" ht="15" hidden="false" customHeight="true" outlineLevel="0" collapsed="false">
      <c r="A18" s="9" t="s">
        <v>53</v>
      </c>
      <c r="B18" s="9" t="n">
        <f aca="false">COUNTIF('Test Cases'!$C$6:$C$44,"Distribution and rounding (Distribute equally)")</f>
        <v>10</v>
      </c>
    </row>
    <row r="19" customFormat="false" ht="15" hidden="false" customHeight="true" outlineLevel="0" collapsed="false">
      <c r="A19" s="9" t="s">
        <v>99</v>
      </c>
      <c r="B19" s="9" t="n">
        <f aca="false">COUNTIF('Test Cases'!$C$6:$C$44,"Selection changes")</f>
        <v>6</v>
      </c>
    </row>
    <row r="20" customFormat="false" ht="15" hidden="false" customHeight="true" outlineLevel="0" collapsed="false">
      <c r="A20" s="9" t="s">
        <v>124</v>
      </c>
      <c r="B20" s="9" t="n">
        <f aca="false">COUNTIF('Test Cases'!$C$6:$C$44,"Switching back and saving")</f>
        <v>5</v>
      </c>
    </row>
    <row r="21" customFormat="false" ht="15" hidden="false" customHeight="true" outlineLevel="0" collapsed="false">
      <c r="A21" s="9" t="s">
        <v>147</v>
      </c>
      <c r="B21" s="9" t="n">
        <f aca="false">COUNTIF('Test Cases'!$C$6:$C$44,"Multi-block End Job")</f>
        <v>3</v>
      </c>
    </row>
    <row r="22" customFormat="false" ht="15" hidden="false" customHeight="true" outlineLevel="0" collapsed="false">
      <c r="A22" s="9" t="s">
        <v>161</v>
      </c>
      <c r="B22" s="9" t="n">
        <f aca="false">COUNTIF('Test Cases'!$C$6:$C$44,"Work order type coverage")</f>
        <v>6</v>
      </c>
    </row>
    <row r="23" customFormat="false" ht="15" hidden="false" customHeight="true" outlineLevel="0" collapsed="false">
      <c r="A23" s="9" t="s">
        <v>193</v>
      </c>
      <c r="B23" s="9" t="n">
        <f aca="false">COUNTIF('Test Cases'!$C$6:$C$44,"UI and language")</f>
        <v>3</v>
      </c>
    </row>
    <row r="24" customFormat="false" ht="15" hidden="false" customHeight="true" outlineLevel="0" collapsed="false">
      <c r="A24" s="8" t="s">
        <v>213</v>
      </c>
      <c r="B24" s="8" t="n">
        <f aca="false">SUM(B17:B23)</f>
        <v>38</v>
      </c>
    </row>
    <row r="26" customFormat="false" ht="15" hidden="false" customHeight="true" outlineLevel="0" collapsed="false">
      <c r="A26" s="8" t="s">
        <v>216</v>
      </c>
    </row>
    <row r="27" customFormat="false" ht="15" hidden="false" customHeight="true" outlineLevel="0" collapsed="false">
      <c r="A27" s="9" t="s">
        <v>217</v>
      </c>
      <c r="B27" s="10"/>
    </row>
    <row r="28" customFormat="false" ht="15" hidden="false" customHeight="true" outlineLevel="0" collapsed="false">
      <c r="A28" s="9" t="s">
        <v>218</v>
      </c>
      <c r="B28" s="10"/>
    </row>
    <row r="29" customFormat="false" ht="15" hidden="false" customHeight="true" outlineLevel="0" collapsed="false">
      <c r="A29" s="9" t="s">
        <v>219</v>
      </c>
      <c r="B29" s="10"/>
    </row>
    <row r="30" customFormat="false" ht="15" hidden="false" customHeight="true" outlineLevel="0" collapsed="false">
      <c r="A30" s="9" t="s">
        <v>220</v>
      </c>
      <c r="B3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7" t="s">
        <v>221</v>
      </c>
    </row>
    <row r="3" customFormat="false" ht="15" hidden="false" customHeight="true" outlineLevel="0" collapsed="false">
      <c r="A3" s="11" t="s">
        <v>222</v>
      </c>
      <c r="B3" s="11" t="s">
        <v>223</v>
      </c>
    </row>
    <row r="4" customFormat="false" ht="15" hidden="false" customHeight="true" outlineLevel="0" collapsed="false">
      <c r="A4" s="12" t="s">
        <v>224</v>
      </c>
      <c r="B4" s="12" t="s">
        <v>225</v>
      </c>
    </row>
    <row r="5" customFormat="false" ht="26.25" hidden="false" customHeight="true" outlineLevel="0" collapsed="false">
      <c r="A5" s="12" t="s">
        <v>226</v>
      </c>
      <c r="B5" s="12" t="s">
        <v>227</v>
      </c>
    </row>
    <row r="6" customFormat="false" ht="15" hidden="false" customHeight="true" outlineLevel="0" collapsed="false">
      <c r="A6" s="12" t="s">
        <v>228</v>
      </c>
      <c r="B6" s="12" t="s">
        <v>229</v>
      </c>
    </row>
    <row r="7" customFormat="false" ht="15" hidden="false" customHeight="true" outlineLevel="0" collapsed="false">
      <c r="A7" s="12" t="s">
        <v>230</v>
      </c>
      <c r="B7" s="12" t="s">
        <v>231</v>
      </c>
    </row>
    <row r="8" customFormat="false" ht="15" hidden="false" customHeight="true" outlineLevel="0" collapsed="false">
      <c r="A8" s="12" t="s">
        <v>232</v>
      </c>
      <c r="B8" s="12" t="s">
        <v>233</v>
      </c>
    </row>
    <row r="9" customFormat="false" ht="15" hidden="false" customHeight="true" outlineLevel="0" collapsed="false">
      <c r="A9" s="12" t="s">
        <v>234</v>
      </c>
      <c r="B9" s="12" t="s">
        <v>235</v>
      </c>
    </row>
    <row r="10" customFormat="false" ht="15" hidden="false" customHeight="true" outlineLevel="0" collapsed="false">
      <c r="A10" s="12" t="s">
        <v>236</v>
      </c>
      <c r="B10" s="12" t="s">
        <v>237</v>
      </c>
    </row>
    <row r="11" customFormat="false" ht="15" hidden="false" customHeight="true" outlineLevel="0" collapsed="false">
      <c r="A11" s="12" t="s">
        <v>238</v>
      </c>
      <c r="B11" s="12" t="s">
        <v>239</v>
      </c>
    </row>
    <row r="12" customFormat="false" ht="15" hidden="false" customHeight="true" outlineLevel="0" collapsed="false">
      <c r="A12" s="12" t="s">
        <v>240</v>
      </c>
      <c r="B12" s="12" t="s">
        <v>241</v>
      </c>
    </row>
    <row r="13" customFormat="false" ht="15" hidden="false" customHeight="true" outlineLevel="0" collapsed="false">
      <c r="A13" s="12" t="s">
        <v>242</v>
      </c>
      <c r="B13" s="12" t="s">
        <v>243</v>
      </c>
    </row>
    <row r="14" customFormat="false" ht="26.25" hidden="false" customHeight="true" outlineLevel="0" collapsed="false"/>
    <row r="15" customFormat="false" ht="15" hidden="false" customHeight="false" outlineLevel="0" collapsed="false">
      <c r="A15" s="8" t="s">
        <v>244</v>
      </c>
    </row>
    <row r="16" customFormat="false" ht="15" hidden="false" customHeight="true" outlineLevel="0" collapsed="false">
      <c r="A16" s="12" t="s">
        <v>245</v>
      </c>
    </row>
    <row r="17" customFormat="false" ht="30" hidden="false" customHeight="true" outlineLevel="0" collapsed="false">
      <c r="A17" s="13" t="s">
        <v>246</v>
      </c>
      <c r="B17" s="13"/>
    </row>
    <row r="18" customFormat="false" ht="30" hidden="false" customHeight="true" outlineLevel="0" collapsed="false">
      <c r="A18" s="13" t="s">
        <v>247</v>
      </c>
      <c r="B18" s="13"/>
    </row>
    <row r="19" customFormat="false" ht="30" hidden="false" customHeight="true" outlineLevel="0" collapsed="false">
      <c r="A19" s="13" t="s">
        <v>248</v>
      </c>
      <c r="B19" s="13"/>
    </row>
    <row r="20" customFormat="false" ht="30" hidden="false" customHeight="true" outlineLevel="0" collapsed="false">
      <c r="A20" s="14"/>
      <c r="B20" s="14"/>
    </row>
    <row r="21" customFormat="false" ht="15" hidden="false" customHeight="false" outlineLevel="0" collapsed="false">
      <c r="A21" s="8" t="s">
        <v>249</v>
      </c>
    </row>
    <row r="22" customFormat="false" ht="15" hidden="false" customHeight="true" outlineLevel="0" collapsed="false">
      <c r="A22" s="12" t="s">
        <v>250</v>
      </c>
    </row>
    <row r="23" customFormat="false" ht="30" hidden="false" customHeight="true" outlineLevel="0" collapsed="false">
      <c r="A23" s="13" t="s">
        <v>251</v>
      </c>
      <c r="B23" s="13"/>
    </row>
    <row r="24" customFormat="false" ht="30" hidden="false" customHeight="true" outlineLevel="0" collapsed="false">
      <c r="A24" s="13" t="s">
        <v>252</v>
      </c>
      <c r="B24" s="13"/>
    </row>
    <row r="25" customFormat="false" ht="30" hidden="false" customHeight="true" outlineLevel="0" collapsed="false">
      <c r="A25" s="14"/>
      <c r="B25" s="14"/>
    </row>
  </sheetData>
  <mergeCells count="7">
    <mergeCell ref="A17:B17"/>
    <mergeCell ref="A18:B18"/>
    <mergeCell ref="A19:B19"/>
    <mergeCell ref="A20:B20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2026-10-09T13:40:48Z</dcterms:created>
  <dc:creator>openpyxl</dc:creator>
  <dc:description/>
  <dc:language>en-US</dc:language>
  <cp:lastModifiedBy/>
  <dcterms:modified xsi:type="dcterms:W3CDTF">2026-10-14T09:28:32Z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