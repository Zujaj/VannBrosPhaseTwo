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wsl.localhost\Ubuntu-26.04\home\zujajmisbahkhan\projects\VannBrosPhaseTwo\playwright\test-plans\authenticated\"/>
    </mc:Choice>
  </mc:AlternateContent>
  <xr:revisionPtr revIDLastSave="0" documentId="13_ncr:1_{6F6E4543-38E2-4E41-AB97-195F2A19405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Test Cases" sheetId="1" r:id="rId1"/>
    <sheet name="Summary" sheetId="2" r:id="rId2"/>
    <sheet name="Test Data" sheetId="3" r:id="rId3"/>
  </sheets>
  <definedNames>
    <definedName name="_xlnm._FilterDatabase" localSheetId="0" hidden="1">'Test Cases'!$A$5:$N$43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2" l="1"/>
  <c r="B22" i="2"/>
  <c r="B21" i="2"/>
  <c r="B20" i="2"/>
  <c r="B19" i="2"/>
  <c r="B18" i="2"/>
  <c r="B17" i="2"/>
  <c r="B24" i="2" s="1"/>
  <c r="B13" i="2"/>
  <c r="B12" i="2"/>
  <c r="B11" i="2"/>
  <c r="B14" i="2" s="1"/>
  <c r="B7" i="2"/>
  <c r="B6" i="2"/>
  <c r="B5" i="2"/>
  <c r="B4" i="2"/>
  <c r="B8" i="2" s="1"/>
</calcChain>
</file>

<file path=xl/sharedStrings.xml><?xml version="1.0" encoding="utf-8"?>
<sst xmlns="http://schemas.openxmlformats.org/spreadsheetml/2006/main" count="541" uniqueCount="238">
  <si>
    <t>ADO #25969 — Distribute Total Acres Equally Across Selected Users (iOS) — Test Cases</t>
  </si>
  <si>
    <t>Source: ADO #25969 description + developer handover notes (branch bugfix/25969-…, commit ad8056e5b). Plan: playwright/test-plans/authenticated/work-orders-distribute-acres-ios.md. Updated 2026-10-09. No PSD or mock-up attached to the ticket.</t>
  </si>
  <si>
    <t>Legend: fill in the Result column (Pass / Fail / Blocked / Not Run) and the Build / Device / Tester cells on the Summary tab. Example row: DIST-012 — 4.75 acres across 2 users must show 2.37 and 2.38. Notes flag behaviour still open with product.</t>
  </si>
  <si>
    <t>ID</t>
  </si>
  <si>
    <t>Title</t>
  </si>
  <si>
    <t>Section</t>
  </si>
  <si>
    <t>Role</t>
  </si>
  <si>
    <t>Platform</t>
  </si>
  <si>
    <t>Priority</t>
  </si>
  <si>
    <t>Type</t>
  </si>
  <si>
    <t>Preconditions</t>
  </si>
  <si>
    <t>Steps</t>
  </si>
  <si>
    <t>Test data</t>
  </si>
  <si>
    <t>Expected result</t>
  </si>
  <si>
    <t>Source</t>
  </si>
  <si>
    <t>Notes</t>
  </si>
  <si>
    <t>Result</t>
  </si>
  <si>
    <t>DIST-001</t>
  </si>
  <si>
    <t>Switch shows with Individual as default</t>
  </si>
  <si>
    <t>Display and default</t>
  </si>
  <si>
    <t>Supervisor</t>
  </si>
  <si>
    <t>Mobile (iOS)</t>
  </si>
  <si>
    <t>P1</t>
  </si>
  <si>
    <t>Smoke</t>
  </si>
  <si>
    <t>iOS build with commit ad8056e5b; logged in on mobile as a Supervisor (VBS tenant, QA env). WO A: Planned WO, In Progress, one area-based (acres) block, Supervisor + 3 Farm Hands started on the job</t>
  </si>
  <si>
    <t>WO A → tap Pause Job → Progress tab</t>
  </si>
  <si>
    <t>Individual | Distribute equally switch appears below the Progress / Materials tabs, Individual is selected, each user row has an editable area field (as before the change)</t>
  </si>
  <si>
    <t>ADO #25969 dev notes</t>
  </si>
  <si>
    <t>Not Run</t>
  </si>
  <si>
    <t>DIST-002</t>
  </si>
  <si>
    <t>Same switch on Save Progress</t>
  </si>
  <si>
    <t>Functional</t>
  </si>
  <si>
    <t>WO A → Save Progress → Progress</t>
  </si>
  <si>
    <t>Same as DIST-001</t>
  </si>
  <si>
    <t>DIST-003</t>
  </si>
  <si>
    <t>Individual mode unchanged</t>
  </si>
  <si>
    <t>Regression</t>
  </si>
  <si>
    <t>In Individual mode, enter 1.5 / 2 / 0.5 for the 3 users → save</t>
  </si>
  <si>
    <t>Saved exactly as typed. Nothing is auto-filled</t>
  </si>
  <si>
    <t>DIST-004</t>
  </si>
  <si>
    <t>Switch hidden on Materials tab, state kept</t>
  </si>
  <si>
    <t>P2</t>
  </si>
  <si>
    <t>Distribute equally, Total Acres 6 → Materials tab → back to Progress</t>
  </si>
  <si>
    <t>Switch is not on Materials. Back on Progress: still Distribute equally, Total Acres still 6, shares still 2.00 each</t>
  </si>
  <si>
    <t>DIST-005</t>
  </si>
  <si>
    <t>Mode not remembered between openings</t>
  </si>
  <si>
    <t>P3</t>
  </si>
  <si>
    <t>Save in Distribute equally → reopen Pause Job</t>
  </si>
  <si>
    <t>Screen opens in Individual (known behaviour per dev notes; log it for the PM, not as a defect)</t>
  </si>
  <si>
    <t>Known/unconfirmed behaviour from dev notes: log for PM, not a defect.</t>
  </si>
  <si>
    <t>DIST-010</t>
  </si>
  <si>
    <t>Total Acres field and hint appear</t>
  </si>
  <si>
    <t>Distribution and rounding (Distribute equally)</t>
  </si>
  <si>
    <t>1. Open the WO → tap Pause Job → Progress tab.
2. Tap Distribute equally.
3. Select the users given in Test data.
4. Enter the Total Acres given in Test data.
5. Read each user's area field.</t>
  </si>
  <si>
    <t>Tap Distribute equally</t>
  </si>
  <si>
    <t>Total Acres field shows, hint reads Distributed equally across 3 selected users, per-user area fields become read-only (no keyboard on tap)</t>
  </si>
  <si>
    <t>DIST-011</t>
  </si>
  <si>
    <t>Even split</t>
  </si>
  <si>
    <t>6 / 3</t>
  </si>
  <si>
    <t>2.00, 2.00, 2.00</t>
  </si>
  <si>
    <t>DIST-012</t>
  </si>
  <si>
    <t>Uneven split, 2 users</t>
  </si>
  <si>
    <t>4.75 / 2</t>
  </si>
  <si>
    <t>2.37, 2.38 (sum 4.75)</t>
  </si>
  <si>
    <t>DIST-013</t>
  </si>
  <si>
    <t>Uneven split, 3 users</t>
  </si>
  <si>
    <t>10 / 3</t>
  </si>
  <si>
    <t>3.33, 3.33, 3.34 (sum 10.00)</t>
  </si>
  <si>
    <t>DIST-014</t>
  </si>
  <si>
    <t>Remainder over 2 users</t>
  </si>
  <si>
    <t>Edge</t>
  </si>
  <si>
    <t>1 / 7 (if you have 7 users), otherwise 0.05 / 3</t>
  </si>
  <si>
    <t>0.14×5 + 0.15×2, or 0.01, 0.02, 0.02. Sum equals the total</t>
  </si>
  <si>
    <t>DIST-015</t>
  </si>
  <si>
    <t>Total smaller than user count × 0.01</t>
  </si>
  <si>
    <t>0.01 / 3</t>
  </si>
  <si>
    <t>0.00, 0.00, 0.01. Check how 0.00 users are saved (no log or zero log)</t>
  </si>
  <si>
    <t>DIST-016</t>
  </si>
  <si>
    <t>More than 2 decimals typed</t>
  </si>
  <si>
    <t>Negative</t>
  </si>
  <si>
    <t>4.755 / 2</t>
  </si>
  <si>
    <t>Field rejects or rounds the 3rd decimal. Shares still sum to what the Total Acres field shows</t>
  </si>
  <si>
    <t>DIST-017</t>
  </si>
  <si>
    <t>Zero, negative, non-numeric</t>
  </si>
  <si>
    <t>0; -5; paste abc; 4,75 (EU keypad)</t>
  </si>
  <si>
    <t>0 gives no area. Negative and text are blocked (decimal keypad). Note how a comma decimal is handled</t>
  </si>
  <si>
    <t>DIST-018</t>
  </si>
  <si>
    <t>Empty Total Acres</t>
  </si>
  <si>
    <t>Leave blank → save</t>
  </si>
  <si>
    <t>Users get no area, same as empty fields in Individual mode (per dev notes)</t>
  </si>
  <si>
    <t>DIST-019</t>
  </si>
  <si>
    <t>No upper limit</t>
  </si>
  <si>
    <t>Total larger than the block's remaining area, e.g. 9999</t>
  </si>
  <si>
    <t>Accepted without warning (known gap per dev notes; record the behaviour for the PM)</t>
  </si>
  <si>
    <t>DIST-020</t>
  </si>
  <si>
    <t>Unselect a user</t>
  </si>
  <si>
    <t>Selection changes</t>
  </si>
  <si>
    <t>10 / 3 → unselect user 3</t>
  </si>
  <si>
    <t>Hint shows 2 selected users. Shares 5.00, 5.00. Unselected user's area is empty</t>
  </si>
  <si>
    <t>DIST-021</t>
  </si>
  <si>
    <t>Reselect a user</t>
  </si>
  <si>
    <t>Continue DIST-020 → reselect user 3</t>
  </si>
  <si>
    <t>Back to 3.33, 3.33, 3.34 and 3 selected users</t>
  </si>
  <si>
    <t>DIST-022</t>
  </si>
  <si>
    <t>Select All toggle</t>
  </si>
  <si>
    <t>Toggle Select All off, then on</t>
  </si>
  <si>
    <t>Off: no shares (check the hint at 0 users, no crash or divide-by-zero). On: shares spread over all users again</t>
  </si>
  <si>
    <t>DIST-023</t>
  </si>
  <si>
    <t>Selection through search</t>
  </si>
  <si>
    <t>Search a user name → select or unselect from the filtered list → clear search</t>
  </si>
  <si>
    <t>Count and shares include the change. Users hidden by the search keep their selection and share</t>
  </si>
  <si>
    <t>DIST-024</t>
  </si>
  <si>
    <t>Down to one selected user</t>
  </si>
  <si>
    <t>10 / 3 → unselect two users</t>
  </si>
  <si>
    <t>Single user gets 10.00. Note whether the switch stays visible (it only shows for blocks with &gt;1 user)</t>
  </si>
  <si>
    <t>DIST-025</t>
  </si>
  <si>
    <t>Supervisor row gets no share</t>
  </si>
  <si>
    <t>WO A, Supervisor plus workers listed</t>
  </si>
  <si>
    <t>Supervisor row has no area field and no share. N in the hint counts workers only</t>
  </si>
  <si>
    <t>DIST-030</t>
  </si>
  <si>
    <t>Back to Individual keeps values</t>
  </si>
  <si>
    <t>Switching back and saving</t>
  </si>
  <si>
    <t>4.75 / 2 → switch to Individual</t>
  </si>
  <si>
    <t>Fields become editable and still show 2.37 / 2.38. Total Acres field hides</t>
  </si>
  <si>
    <t>DIST-031</t>
  </si>
  <si>
    <t>Pause Job saves distributed values</t>
  </si>
  <si>
    <t>10 / 3 → Pause Job</t>
  </si>
  <si>
    <t>Saved without error. The block's Total Area increases by 10.00. Each user's progress log shows 3.33 / 3.33 / 3.34</t>
  </si>
  <si>
    <t>DIST-032</t>
  </si>
  <si>
    <t>Save Progress saves distributed values</t>
  </si>
  <si>
    <t>4.75 / 2 → Save Progress</t>
  </si>
  <si>
    <t>As DIST-031 with 2.37 / 2.38</t>
  </si>
  <si>
    <t>DIST-033</t>
  </si>
  <si>
    <t>Web reflects mobile values</t>
  </si>
  <si>
    <t>Mobile (iOS) / Web</t>
  </si>
  <si>
    <t>After DIST-031, open WO A on QA web → View → Plots grid and View Spent Hours</t>
  </si>
  <si>
    <t>Plot progress / area includes the 10.00 total. Per-user split matches mobile. Nothing posts to D365 at this point</t>
  </si>
  <si>
    <t>Web labels (Plots grid / View Spent Hours) to be confirmed on first run.</t>
  </si>
  <si>
    <t>DIST-034</t>
  </si>
  <si>
    <t>Edit after switch, then save</t>
  </si>
  <si>
    <t>Distribute 6 / 3 → Individual → change user 1 to 3 → save</t>
  </si>
  <si>
    <t>Saved 3 / 2 / 2 (the Individual edits win)</t>
  </si>
  <si>
    <t>DIST-040</t>
  </si>
  <si>
    <t>Switch on each block page</t>
  </si>
  <si>
    <t>Multi-block End Job</t>
  </si>
  <si>
    <t>iOS build with commit ad8056e5b; logged in on mobile as a Supervisor (VBS tenant, QA env). WO B: Planned WO, In Progress, 2 area-based blocks, Supervisor + 2+ Farm Hands started on the job</t>
  </si>
  <si>
    <t>WO B → End Job</t>
  </si>
  <si>
    <t>Every area-based block page has its own switch, defaulting to Individual</t>
  </si>
  <si>
    <t>DIST-041</t>
  </si>
  <si>
    <t>Blocks are independent</t>
  </si>
  <si>
    <t>Block 1: Distribute 4.75 / 2. Block 2: Individual 1 / 1.5 → End Job</t>
  </si>
  <si>
    <t>Each block saves its own values. Block 1's mode and total don't leak into block 2</t>
  </si>
  <si>
    <t>DIST-042</t>
  </si>
  <si>
    <t>Paging back keeps state</t>
  </si>
  <si>
    <t>Fill block 1 → go to block 2 → back to block 1</t>
  </si>
  <si>
    <t>Block 1 still in Distribute equally with the same total and shares</t>
  </si>
  <si>
    <t>DIST-050</t>
  </si>
  <si>
    <t>Rows/beds block</t>
  </si>
  <si>
    <t>Regression: option must not appear</t>
  </si>
  <si>
    <t>iOS build with commit ad8056e5b; logged in on mobile as a Supervisor (VBS tenant, QA env). WO C: rows/beds block, 2+ users</t>
  </si>
  <si>
    <t>WO C → Pause Job → Progress</t>
  </si>
  <si>
    <t>No switch. Rows/beds entry as before</t>
  </si>
  <si>
    <t>DIST-051</t>
  </si>
  <si>
    <t>Single-user block</t>
  </si>
  <si>
    <t>iOS build with commit ad8056e5b; logged in on mobile as a Supervisor (VBS tenant, QA env). WO D: area-based block, 1 user only</t>
  </si>
  <si>
    <t>WO D → Pause Job → Progress</t>
  </si>
  <si>
    <t>No switch</t>
  </si>
  <si>
    <t>DIST-052</t>
  </si>
  <si>
    <t>Inspection WO</t>
  </si>
  <si>
    <t>iOS build with commit ad8056e5b; logged in on mobile as a Supervisor (VBS tenant, QA env). WO E: inspection WO, 2+ users</t>
  </si>
  <si>
    <t>WO E → Pause/End Job</t>
  </si>
  <si>
    <t>DIST-053</t>
  </si>
  <si>
    <t>Harvesting End Job</t>
  </si>
  <si>
    <t>iOS build with commit ad8056e5b; logged in on mobile as a Supervisor (VBS tenant, QA env). Harvest WO, In Progress, 2+ users</t>
  </si>
  <si>
    <t>Harvest WO → End Job</t>
  </si>
  <si>
    <t>Unchanged, no switch</t>
  </si>
  <si>
    <t>DIST-054</t>
  </si>
  <si>
    <t>Percentage-progress (general) WO</t>
  </si>
  <si>
    <t>iOS build with commit ad8056e5b; logged in on mobile as a Supervisor (VBS tenant, QA env). General (percentage-progress) WO, 2+ users</t>
  </si>
  <si>
    <t>General WO → Pause/End Job</t>
  </si>
  <si>
    <t>DIST-055</t>
  </si>
  <si>
    <t>Finops app</t>
  </si>
  <si>
    <t>iOS build with commit ad8056e5b; logged in on mobile as a Supervisor (VBS tenant, QA env). Finops app installed, same user</t>
  </si>
  <si>
    <t>Open the equivalent screen in the Finops app</t>
  </si>
  <si>
    <t>DIST-060</t>
  </si>
  <si>
    <t>Small screen + keyboard</t>
  </si>
  <si>
    <t>UI and language</t>
  </si>
  <si>
    <t>UI</t>
  </si>
  <si>
    <t>iOS build with commit ad8056e5b; logged in on mobile as a Supervisor (VBS tenant, QA env). WO A. Small-screen iPhone (e.g. iPhone SE).</t>
  </si>
  <si>
    <t>iPhone SE, Distribute equally, focus Total Acres</t>
  </si>
  <si>
    <t>Switch, field, hint and first user row are all visible above the keyboard. No clipped text. Keyboard can be dismissed</t>
  </si>
  <si>
    <t>DIST-061</t>
  </si>
  <si>
    <t>Large text (Dynamic Type)</t>
  </si>
  <si>
    <t xml:space="preserve">iOS build with commit ad8056e5b; logged in on mobile as a Supervisor (VBS tenant, QA env). WO A. </t>
  </si>
  <si>
    <t>Settings → larger text → repeat DIST-010</t>
  </si>
  <si>
    <t>Labels wrap and nothing overlaps</t>
  </si>
  <si>
    <t>DIST-062</t>
  </si>
  <si>
    <t>Non-English language</t>
  </si>
  <si>
    <t>Switch the app language → open the screen</t>
  </si>
  <si>
    <t>New labels show English fallback text (Distribute equally, Total Acres, hint). Known gap: translations still to be added</t>
  </si>
  <si>
    <t>Summary</t>
  </si>
  <si>
    <t>By result</t>
  </si>
  <si>
    <t>Count</t>
  </si>
  <si>
    <t>Pass</t>
  </si>
  <si>
    <t>Fail</t>
  </si>
  <si>
    <t>Blocked</t>
  </si>
  <si>
    <t>Total</t>
  </si>
  <si>
    <t>By priority</t>
  </si>
  <si>
    <t>By section</t>
  </si>
  <si>
    <t>Run details (fill in)</t>
  </si>
  <si>
    <t>Build number</t>
  </si>
  <si>
    <t>Device / iOS version</t>
  </si>
  <si>
    <t>Tester</t>
  </si>
  <si>
    <t>Date</t>
  </si>
  <si>
    <t>Preconditions and test data (QA env, VBS tenant)</t>
  </si>
  <si>
    <t>Item</t>
  </si>
  <si>
    <t>Value</t>
  </si>
  <si>
    <t>Device</t>
  </si>
  <si>
    <t>iPhone with the build above. Also an iPhone SE (or the smallest screen available) for the layout case</t>
  </si>
  <si>
    <t>Mobile login</t>
  </si>
  <si>
    <t>A Supervisor resource. Supervisors can start and end WOs for themselves and others. Check the resource group on web before filing a "switch missing" bug (a Farm Hand gets a different screen)</t>
  </si>
  <si>
    <t>WO A</t>
  </si>
  <si>
    <t>Planned WO, In Progress, one area-based (acres) plot/block, Supervisor + 3 Farm Hands started on the job</t>
  </si>
  <si>
    <t>WO B</t>
  </si>
  <si>
    <t>Same as A but with 2 blocks (for multi-block End Job)</t>
  </si>
  <si>
    <t>WO C</t>
  </si>
  <si>
    <t>Planned WO with a rows/beds block and 2+ users (regression)</t>
  </si>
  <si>
    <t>WO D</t>
  </si>
  <si>
    <t>WO with an area-based block and 1 user only (regression)</t>
  </si>
  <si>
    <t>WO E</t>
  </si>
  <si>
    <t>Inspection WO with 2+ users (regression)</t>
  </si>
  <si>
    <t>Web check</t>
  </si>
  <si>
    <t>QA web → Work Orders → WO → eye icon (View) → Plots grid (Progress, Operational Area - ac) and the Supervisor View Spent Hours</t>
  </si>
  <si>
    <t>Open questions for product</t>
  </si>
  <si>
    <t>1. Rounding rule: 2 decimals, leftover to the last user(s). Matches the mock-up per the dev, but the mock-up isn't attached to the ticket.</t>
  </si>
  <si>
    <t>2. Should the screen remember the last mode?</t>
  </si>
  <si>
    <t>3. Should Total Acres be capped at the block's remaining area?</t>
  </si>
  <si>
    <t>4. Translations for the three new labels.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</si>
</sst>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CCCCCC"/>
      </top>
      <bottom style="medium">
        <color rgb="FFBFBFBF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2" borderId="0" xfId="0" applyFont="1" applyFill="1"/>
    <xf numFmtId="0" fontId="6" fillId="0" borderId="0" xfId="0" applyFont="1" applyAlignment="1">
      <alignment vertical="top" wrapText="1"/>
    </xf>
    <xf numFmtId="0" fontId="7" fillId="0" borderId="2" xfId="1" applyBorder="1" applyAlignment="1">
      <alignment vertical="top" wrapText="1"/>
    </xf>
    <xf numFmtId="0" fontId="7" fillId="0" borderId="3" xfId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v.azure.com/AgriERPProduct/Vann%20Brothers/_workitems/edit/25969" TargetMode="External"/><Relationship Id="rId18" Type="http://schemas.openxmlformats.org/officeDocument/2006/relationships/hyperlink" Target="https://dev.azure.com/AgriERPProduct/Vann%20Brothers/_workitems/edit/25969" TargetMode="External"/><Relationship Id="rId26" Type="http://schemas.openxmlformats.org/officeDocument/2006/relationships/hyperlink" Target="https://dev.azure.com/AgriERPProduct/Vann%20Brothers/_workitems/edit/25969" TargetMode="External"/><Relationship Id="rId21" Type="http://schemas.openxmlformats.org/officeDocument/2006/relationships/hyperlink" Target="https://dev.azure.com/AgriERPProduct/Vann%20Brothers/_workitems/edit/25969" TargetMode="External"/><Relationship Id="rId34" Type="http://schemas.openxmlformats.org/officeDocument/2006/relationships/hyperlink" Target="https://dev.azure.com/AgriERPProduct/Vann%20Brothers/_workitems/edit/25969" TargetMode="External"/><Relationship Id="rId7" Type="http://schemas.openxmlformats.org/officeDocument/2006/relationships/hyperlink" Target="https://dev.azure.com/AgriERPProduct/Vann%20Brothers/_workitems/edit/25969" TargetMode="External"/><Relationship Id="rId12" Type="http://schemas.openxmlformats.org/officeDocument/2006/relationships/hyperlink" Target="https://dev.azure.com/AgriERPProduct/Vann%20Brothers/_workitems/edit/25969" TargetMode="External"/><Relationship Id="rId17" Type="http://schemas.openxmlformats.org/officeDocument/2006/relationships/hyperlink" Target="https://dev.azure.com/AgriERPProduct/Vann%20Brothers/_workitems/edit/25969" TargetMode="External"/><Relationship Id="rId25" Type="http://schemas.openxmlformats.org/officeDocument/2006/relationships/hyperlink" Target="https://dev.azure.com/AgriERPProduct/Vann%20Brothers/_workitems/edit/25969" TargetMode="External"/><Relationship Id="rId33" Type="http://schemas.openxmlformats.org/officeDocument/2006/relationships/hyperlink" Target="https://dev.azure.com/AgriERPProduct/Vann%20Brothers/_workitems/edit/25969" TargetMode="External"/><Relationship Id="rId38" Type="http://schemas.openxmlformats.org/officeDocument/2006/relationships/hyperlink" Target="https://dev.azure.com/AgriERPProduct/Vann%20Brothers/_workitems/edit/25969" TargetMode="External"/><Relationship Id="rId2" Type="http://schemas.openxmlformats.org/officeDocument/2006/relationships/hyperlink" Target="https://dev.azure.com/AgriERPProduct/Vann%20Brothers/_workitems/edit/25969" TargetMode="External"/><Relationship Id="rId16" Type="http://schemas.openxmlformats.org/officeDocument/2006/relationships/hyperlink" Target="https://dev.azure.com/AgriERPProduct/Vann%20Brothers/_workitems/edit/25969" TargetMode="External"/><Relationship Id="rId20" Type="http://schemas.openxmlformats.org/officeDocument/2006/relationships/hyperlink" Target="https://dev.azure.com/AgriERPProduct/Vann%20Brothers/_workitems/edit/25969" TargetMode="External"/><Relationship Id="rId29" Type="http://schemas.openxmlformats.org/officeDocument/2006/relationships/hyperlink" Target="https://dev.azure.com/AgriERPProduct/Vann%20Brothers/_workitems/edit/25969" TargetMode="External"/><Relationship Id="rId1" Type="http://schemas.openxmlformats.org/officeDocument/2006/relationships/hyperlink" Target="https://dev.azure.com/AgriERPProduct/Vann%20Brothers/_workitems/edit/25969" TargetMode="External"/><Relationship Id="rId6" Type="http://schemas.openxmlformats.org/officeDocument/2006/relationships/hyperlink" Target="https://dev.azure.com/AgriERPProduct/Vann%20Brothers/_workitems/edit/25969" TargetMode="External"/><Relationship Id="rId11" Type="http://schemas.openxmlformats.org/officeDocument/2006/relationships/hyperlink" Target="https://dev.azure.com/AgriERPProduct/Vann%20Brothers/_workitems/edit/25969" TargetMode="External"/><Relationship Id="rId24" Type="http://schemas.openxmlformats.org/officeDocument/2006/relationships/hyperlink" Target="https://dev.azure.com/AgriERPProduct/Vann%20Brothers/_workitems/edit/25969" TargetMode="External"/><Relationship Id="rId32" Type="http://schemas.openxmlformats.org/officeDocument/2006/relationships/hyperlink" Target="https://dev.azure.com/AgriERPProduct/Vann%20Brothers/_workitems/edit/25969" TargetMode="External"/><Relationship Id="rId37" Type="http://schemas.openxmlformats.org/officeDocument/2006/relationships/hyperlink" Target="https://dev.azure.com/AgriERPProduct/Vann%20Brothers/_workitems/edit/25969" TargetMode="External"/><Relationship Id="rId5" Type="http://schemas.openxmlformats.org/officeDocument/2006/relationships/hyperlink" Target="https://dev.azure.com/AgriERPProduct/Vann%20Brothers/_workitems/edit/25969" TargetMode="External"/><Relationship Id="rId15" Type="http://schemas.openxmlformats.org/officeDocument/2006/relationships/hyperlink" Target="https://dev.azure.com/AgriERPProduct/Vann%20Brothers/_workitems/edit/25969" TargetMode="External"/><Relationship Id="rId23" Type="http://schemas.openxmlformats.org/officeDocument/2006/relationships/hyperlink" Target="https://dev.azure.com/AgriERPProduct/Vann%20Brothers/_workitems/edit/25969" TargetMode="External"/><Relationship Id="rId28" Type="http://schemas.openxmlformats.org/officeDocument/2006/relationships/hyperlink" Target="https://dev.azure.com/AgriERPProduct/Vann%20Brothers/_workitems/edit/25969" TargetMode="External"/><Relationship Id="rId36" Type="http://schemas.openxmlformats.org/officeDocument/2006/relationships/hyperlink" Target="https://dev.azure.com/AgriERPProduct/Vann%20Brothers/_workitems/edit/25969" TargetMode="External"/><Relationship Id="rId10" Type="http://schemas.openxmlformats.org/officeDocument/2006/relationships/hyperlink" Target="https://dev.azure.com/AgriERPProduct/Vann%20Brothers/_workitems/edit/25969" TargetMode="External"/><Relationship Id="rId19" Type="http://schemas.openxmlformats.org/officeDocument/2006/relationships/hyperlink" Target="https://dev.azure.com/AgriERPProduct/Vann%20Brothers/_workitems/edit/25969" TargetMode="External"/><Relationship Id="rId31" Type="http://schemas.openxmlformats.org/officeDocument/2006/relationships/hyperlink" Target="https://dev.azure.com/AgriERPProduct/Vann%20Brothers/_workitems/edit/25969" TargetMode="External"/><Relationship Id="rId4" Type="http://schemas.openxmlformats.org/officeDocument/2006/relationships/hyperlink" Target="https://dev.azure.com/AgriERPProduct/Vann%20Brothers/_workitems/edit/25969" TargetMode="External"/><Relationship Id="rId9" Type="http://schemas.openxmlformats.org/officeDocument/2006/relationships/hyperlink" Target="https://dev.azure.com/AgriERPProduct/Vann%20Brothers/_workitems/edit/25969" TargetMode="External"/><Relationship Id="rId14" Type="http://schemas.openxmlformats.org/officeDocument/2006/relationships/hyperlink" Target="https://dev.azure.com/AgriERPProduct/Vann%20Brothers/_workitems/edit/25969" TargetMode="External"/><Relationship Id="rId22" Type="http://schemas.openxmlformats.org/officeDocument/2006/relationships/hyperlink" Target="https://dev.azure.com/AgriERPProduct/Vann%20Brothers/_workitems/edit/25969" TargetMode="External"/><Relationship Id="rId27" Type="http://schemas.openxmlformats.org/officeDocument/2006/relationships/hyperlink" Target="https://dev.azure.com/AgriERPProduct/Vann%20Brothers/_workitems/edit/25969" TargetMode="External"/><Relationship Id="rId30" Type="http://schemas.openxmlformats.org/officeDocument/2006/relationships/hyperlink" Target="https://dev.azure.com/AgriERPProduct/Vann%20Brothers/_workitems/edit/25969" TargetMode="External"/><Relationship Id="rId35" Type="http://schemas.openxmlformats.org/officeDocument/2006/relationships/hyperlink" Target="https://dev.azure.com/AgriERPProduct/Vann%20Brothers/_workitems/edit/25969" TargetMode="External"/><Relationship Id="rId8" Type="http://schemas.openxmlformats.org/officeDocument/2006/relationships/hyperlink" Target="https://dev.azure.com/AgriERPProduct/Vann%20Brothers/_workitems/edit/25969" TargetMode="External"/><Relationship Id="rId3" Type="http://schemas.openxmlformats.org/officeDocument/2006/relationships/hyperlink" Target="https://dev.azure.com/AgriERPProduct/Vann%20Brothers/_workitems/edit/2596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tabSelected="1" zoomScaleNormal="100" workbookViewId="0">
      <pane xSplit="2" ySplit="5" topLeftCell="K6" activePane="bottomRight" state="frozen"/>
      <selection pane="topRight" activeCell="C1" sqref="C1"/>
      <selection pane="bottomLeft" activeCell="A6" sqref="A6"/>
      <selection pane="bottomRight" activeCell="L7" sqref="L7"/>
    </sheetView>
  </sheetViews>
  <sheetFormatPr defaultColWidth="8.6640625" defaultRowHeight="14.4" x14ac:dyDescent="0.3"/>
  <cols>
    <col min="1" max="1" width="10" customWidth="1"/>
    <col min="2" max="2" width="34" customWidth="1"/>
    <col min="3" max="3" width="22" customWidth="1"/>
    <col min="4" max="4" width="12" customWidth="1"/>
    <col min="5" max="5" width="14" customWidth="1"/>
    <col min="6" max="6" width="9" customWidth="1"/>
    <col min="7" max="7" width="12" customWidth="1"/>
    <col min="8" max="8" width="40" customWidth="1"/>
    <col min="9" max="9" width="50" customWidth="1"/>
    <col min="10" max="10" width="22" customWidth="1"/>
    <col min="11" max="11" width="50" customWidth="1"/>
    <col min="12" max="12" width="18" customWidth="1"/>
    <col min="13" max="13" width="30" customWidth="1"/>
    <col min="14" max="14" width="11" customWidth="1"/>
  </cols>
  <sheetData>
    <row r="1" spans="1:14" ht="17.399999999999999" x14ac:dyDescent="0.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ht="30" customHeight="1" x14ac:dyDescent="0.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30" customHeight="1" x14ac:dyDescent="0.3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5" spans="1:14" ht="15" thickBot="1" x14ac:dyDescent="0.3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</row>
    <row r="6" spans="1:14" ht="66.599999999999994" thickBot="1" x14ac:dyDescent="0.35">
      <c r="A6" s="5" t="s">
        <v>17</v>
      </c>
      <c r="B6" s="5" t="s">
        <v>18</v>
      </c>
      <c r="C6" s="5" t="s">
        <v>19</v>
      </c>
      <c r="D6" s="5" t="s">
        <v>20</v>
      </c>
      <c r="E6" s="5" t="s">
        <v>21</v>
      </c>
      <c r="F6" s="5" t="s">
        <v>22</v>
      </c>
      <c r="G6" s="5" t="s">
        <v>23</v>
      </c>
      <c r="H6" s="5" t="s">
        <v>24</v>
      </c>
      <c r="I6" s="5" t="s">
        <v>25</v>
      </c>
      <c r="J6" s="5"/>
      <c r="K6" s="5" t="s">
        <v>26</v>
      </c>
      <c r="L6" s="12" t="s">
        <v>27</v>
      </c>
      <c r="M6" s="5"/>
      <c r="N6" s="6" t="s">
        <v>28</v>
      </c>
    </row>
    <row r="7" spans="1:14" ht="66.599999999999994" thickBot="1" x14ac:dyDescent="0.35">
      <c r="A7" s="5" t="s">
        <v>29</v>
      </c>
      <c r="B7" s="5" t="s">
        <v>30</v>
      </c>
      <c r="C7" s="5" t="s">
        <v>19</v>
      </c>
      <c r="D7" s="5" t="s">
        <v>20</v>
      </c>
      <c r="E7" s="5" t="s">
        <v>21</v>
      </c>
      <c r="F7" s="5" t="s">
        <v>22</v>
      </c>
      <c r="G7" s="5" t="s">
        <v>31</v>
      </c>
      <c r="H7" s="5" t="s">
        <v>24</v>
      </c>
      <c r="I7" s="5" t="s">
        <v>32</v>
      </c>
      <c r="J7" s="5"/>
      <c r="K7" s="5" t="s">
        <v>33</v>
      </c>
      <c r="L7" s="13" t="s">
        <v>27</v>
      </c>
      <c r="M7" s="5"/>
      <c r="N7" s="6" t="s">
        <v>28</v>
      </c>
    </row>
    <row r="8" spans="1:14" ht="66.599999999999994" thickBot="1" x14ac:dyDescent="0.35">
      <c r="A8" s="5" t="s">
        <v>34</v>
      </c>
      <c r="B8" s="5" t="s">
        <v>35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36</v>
      </c>
      <c r="H8" s="5" t="s">
        <v>24</v>
      </c>
      <c r="I8" s="5" t="s">
        <v>37</v>
      </c>
      <c r="J8" s="5"/>
      <c r="K8" s="5" t="s">
        <v>38</v>
      </c>
      <c r="L8" s="13" t="s">
        <v>27</v>
      </c>
      <c r="M8" s="5"/>
      <c r="N8" s="6" t="s">
        <v>28</v>
      </c>
    </row>
    <row r="9" spans="1:14" ht="66.599999999999994" thickBot="1" x14ac:dyDescent="0.35">
      <c r="A9" s="5" t="s">
        <v>39</v>
      </c>
      <c r="B9" s="5" t="s">
        <v>40</v>
      </c>
      <c r="C9" s="5" t="s">
        <v>19</v>
      </c>
      <c r="D9" s="5" t="s">
        <v>20</v>
      </c>
      <c r="E9" s="5" t="s">
        <v>21</v>
      </c>
      <c r="F9" s="5" t="s">
        <v>41</v>
      </c>
      <c r="G9" s="5" t="s">
        <v>31</v>
      </c>
      <c r="H9" s="5" t="s">
        <v>24</v>
      </c>
      <c r="I9" s="5" t="s">
        <v>42</v>
      </c>
      <c r="J9" s="5"/>
      <c r="K9" s="5" t="s">
        <v>43</v>
      </c>
      <c r="L9" s="13" t="s">
        <v>27</v>
      </c>
      <c r="M9" s="5"/>
      <c r="N9" s="6" t="s">
        <v>28</v>
      </c>
    </row>
    <row r="10" spans="1:14" ht="66.599999999999994" thickBot="1" x14ac:dyDescent="0.35">
      <c r="A10" s="5" t="s">
        <v>44</v>
      </c>
      <c r="B10" s="5" t="s">
        <v>45</v>
      </c>
      <c r="C10" s="5" t="s">
        <v>19</v>
      </c>
      <c r="D10" s="5" t="s">
        <v>20</v>
      </c>
      <c r="E10" s="5" t="s">
        <v>21</v>
      </c>
      <c r="F10" s="5" t="s">
        <v>46</v>
      </c>
      <c r="G10" s="5" t="s">
        <v>31</v>
      </c>
      <c r="H10" s="5" t="s">
        <v>24</v>
      </c>
      <c r="I10" s="5" t="s">
        <v>47</v>
      </c>
      <c r="J10" s="5"/>
      <c r="K10" s="5" t="s">
        <v>48</v>
      </c>
      <c r="L10" s="13" t="s">
        <v>27</v>
      </c>
      <c r="M10" s="5" t="s">
        <v>49</v>
      </c>
      <c r="N10" s="6" t="s">
        <v>28</v>
      </c>
    </row>
    <row r="11" spans="1:14" ht="66.599999999999994" thickBot="1" x14ac:dyDescent="0.35">
      <c r="A11" s="5" t="s">
        <v>50</v>
      </c>
      <c r="B11" s="5" t="s">
        <v>51</v>
      </c>
      <c r="C11" s="5" t="s">
        <v>52</v>
      </c>
      <c r="D11" s="5" t="s">
        <v>20</v>
      </c>
      <c r="E11" s="5" t="s">
        <v>21</v>
      </c>
      <c r="F11" s="5" t="s">
        <v>22</v>
      </c>
      <c r="G11" s="5" t="s">
        <v>23</v>
      </c>
      <c r="H11" s="5" t="s">
        <v>24</v>
      </c>
      <c r="I11" s="5" t="s">
        <v>53</v>
      </c>
      <c r="J11" s="5" t="s">
        <v>54</v>
      </c>
      <c r="K11" s="5" t="s">
        <v>55</v>
      </c>
      <c r="L11" s="13" t="s">
        <v>27</v>
      </c>
      <c r="M11" s="5"/>
      <c r="N11" s="6" t="s">
        <v>28</v>
      </c>
    </row>
    <row r="12" spans="1:14" ht="66.599999999999994" thickBot="1" x14ac:dyDescent="0.35">
      <c r="A12" s="5" t="s">
        <v>56</v>
      </c>
      <c r="B12" s="5" t="s">
        <v>57</v>
      </c>
      <c r="C12" s="5" t="s">
        <v>52</v>
      </c>
      <c r="D12" s="5" t="s">
        <v>20</v>
      </c>
      <c r="E12" s="5" t="s">
        <v>21</v>
      </c>
      <c r="F12" s="5" t="s">
        <v>22</v>
      </c>
      <c r="G12" s="5" t="s">
        <v>31</v>
      </c>
      <c r="H12" s="5" t="s">
        <v>24</v>
      </c>
      <c r="I12" s="5" t="s">
        <v>53</v>
      </c>
      <c r="J12" s="5" t="s">
        <v>58</v>
      </c>
      <c r="K12" s="5" t="s">
        <v>59</v>
      </c>
      <c r="L12" s="13" t="s">
        <v>27</v>
      </c>
      <c r="M12" s="5"/>
      <c r="N12" s="6" t="s">
        <v>28</v>
      </c>
    </row>
    <row r="13" spans="1:14" ht="66.599999999999994" thickBot="1" x14ac:dyDescent="0.35">
      <c r="A13" s="5" t="s">
        <v>60</v>
      </c>
      <c r="B13" s="5" t="s">
        <v>61</v>
      </c>
      <c r="C13" s="5" t="s">
        <v>52</v>
      </c>
      <c r="D13" s="5" t="s">
        <v>20</v>
      </c>
      <c r="E13" s="5" t="s">
        <v>21</v>
      </c>
      <c r="F13" s="5" t="s">
        <v>22</v>
      </c>
      <c r="G13" s="5" t="s">
        <v>31</v>
      </c>
      <c r="H13" s="5" t="s">
        <v>24</v>
      </c>
      <c r="I13" s="5" t="s">
        <v>53</v>
      </c>
      <c r="J13" s="5" t="s">
        <v>62</v>
      </c>
      <c r="K13" s="5" t="s">
        <v>63</v>
      </c>
      <c r="L13" s="13" t="s">
        <v>27</v>
      </c>
      <c r="M13" s="5"/>
      <c r="N13" s="6" t="s">
        <v>28</v>
      </c>
    </row>
    <row r="14" spans="1:14" ht="66.599999999999994" thickBot="1" x14ac:dyDescent="0.35">
      <c r="A14" s="5" t="s">
        <v>64</v>
      </c>
      <c r="B14" s="5" t="s">
        <v>65</v>
      </c>
      <c r="C14" s="5" t="s">
        <v>52</v>
      </c>
      <c r="D14" s="5" t="s">
        <v>20</v>
      </c>
      <c r="E14" s="5" t="s">
        <v>21</v>
      </c>
      <c r="F14" s="5" t="s">
        <v>22</v>
      </c>
      <c r="G14" s="5" t="s">
        <v>31</v>
      </c>
      <c r="H14" s="5" t="s">
        <v>24</v>
      </c>
      <c r="I14" s="5" t="s">
        <v>53</v>
      </c>
      <c r="J14" s="5" t="s">
        <v>66</v>
      </c>
      <c r="K14" s="5" t="s">
        <v>67</v>
      </c>
      <c r="L14" s="13" t="s">
        <v>27</v>
      </c>
      <c r="M14" s="5"/>
      <c r="N14" s="6" t="s">
        <v>28</v>
      </c>
    </row>
    <row r="15" spans="1:14" ht="66.599999999999994" thickBot="1" x14ac:dyDescent="0.35">
      <c r="A15" s="5" t="s">
        <v>68</v>
      </c>
      <c r="B15" s="5" t="s">
        <v>69</v>
      </c>
      <c r="C15" s="5" t="s">
        <v>52</v>
      </c>
      <c r="D15" s="5" t="s">
        <v>20</v>
      </c>
      <c r="E15" s="5" t="s">
        <v>21</v>
      </c>
      <c r="F15" s="5" t="s">
        <v>41</v>
      </c>
      <c r="G15" s="5" t="s">
        <v>70</v>
      </c>
      <c r="H15" s="5" t="s">
        <v>24</v>
      </c>
      <c r="I15" s="5" t="s">
        <v>53</v>
      </c>
      <c r="J15" s="5" t="s">
        <v>71</v>
      </c>
      <c r="K15" s="5" t="s">
        <v>72</v>
      </c>
      <c r="L15" s="13" t="s">
        <v>27</v>
      </c>
      <c r="M15" s="5"/>
      <c r="N15" s="6" t="s">
        <v>28</v>
      </c>
    </row>
    <row r="16" spans="1:14" ht="66.599999999999994" thickBot="1" x14ac:dyDescent="0.35">
      <c r="A16" s="5" t="s">
        <v>73</v>
      </c>
      <c r="B16" s="5" t="s">
        <v>74</v>
      </c>
      <c r="C16" s="5" t="s">
        <v>52</v>
      </c>
      <c r="D16" s="5" t="s">
        <v>20</v>
      </c>
      <c r="E16" s="5" t="s">
        <v>21</v>
      </c>
      <c r="F16" s="5" t="s">
        <v>41</v>
      </c>
      <c r="G16" s="5" t="s">
        <v>70</v>
      </c>
      <c r="H16" s="5" t="s">
        <v>24</v>
      </c>
      <c r="I16" s="5" t="s">
        <v>53</v>
      </c>
      <c r="J16" s="5" t="s">
        <v>75</v>
      </c>
      <c r="K16" s="5" t="s">
        <v>76</v>
      </c>
      <c r="L16" s="13" t="s">
        <v>27</v>
      </c>
      <c r="M16" s="5"/>
      <c r="N16" s="6" t="s">
        <v>28</v>
      </c>
    </row>
    <row r="17" spans="1:14" ht="66.599999999999994" thickBot="1" x14ac:dyDescent="0.35">
      <c r="A17" s="5" t="s">
        <v>77</v>
      </c>
      <c r="B17" s="5" t="s">
        <v>78</v>
      </c>
      <c r="C17" s="5" t="s">
        <v>52</v>
      </c>
      <c r="D17" s="5" t="s">
        <v>20</v>
      </c>
      <c r="E17" s="5" t="s">
        <v>21</v>
      </c>
      <c r="F17" s="5" t="s">
        <v>41</v>
      </c>
      <c r="G17" s="5" t="s">
        <v>79</v>
      </c>
      <c r="H17" s="5" t="s">
        <v>24</v>
      </c>
      <c r="I17" s="5" t="s">
        <v>53</v>
      </c>
      <c r="J17" s="5" t="s">
        <v>80</v>
      </c>
      <c r="K17" s="5" t="s">
        <v>81</v>
      </c>
      <c r="L17" s="13" t="s">
        <v>27</v>
      </c>
      <c r="M17" s="5"/>
      <c r="N17" s="6" t="s">
        <v>28</v>
      </c>
    </row>
    <row r="18" spans="1:14" ht="66.599999999999994" thickBot="1" x14ac:dyDescent="0.35">
      <c r="A18" s="5" t="s">
        <v>82</v>
      </c>
      <c r="B18" s="5" t="s">
        <v>83</v>
      </c>
      <c r="C18" s="5" t="s">
        <v>52</v>
      </c>
      <c r="D18" s="5" t="s">
        <v>20</v>
      </c>
      <c r="E18" s="5" t="s">
        <v>21</v>
      </c>
      <c r="F18" s="5" t="s">
        <v>41</v>
      </c>
      <c r="G18" s="5" t="s">
        <v>79</v>
      </c>
      <c r="H18" s="5" t="s">
        <v>24</v>
      </c>
      <c r="I18" s="5" t="s">
        <v>53</v>
      </c>
      <c r="J18" s="5" t="s">
        <v>84</v>
      </c>
      <c r="K18" s="5" t="s">
        <v>85</v>
      </c>
      <c r="L18" s="13" t="s">
        <v>27</v>
      </c>
      <c r="M18" s="5"/>
      <c r="N18" s="6" t="s">
        <v>28</v>
      </c>
    </row>
    <row r="19" spans="1:14" ht="66.599999999999994" thickBot="1" x14ac:dyDescent="0.35">
      <c r="A19" s="5" t="s">
        <v>86</v>
      </c>
      <c r="B19" s="5" t="s">
        <v>87</v>
      </c>
      <c r="C19" s="5" t="s">
        <v>52</v>
      </c>
      <c r="D19" s="5" t="s">
        <v>20</v>
      </c>
      <c r="E19" s="5" t="s">
        <v>21</v>
      </c>
      <c r="F19" s="5" t="s">
        <v>41</v>
      </c>
      <c r="G19" s="5" t="s">
        <v>70</v>
      </c>
      <c r="H19" s="5" t="s">
        <v>24</v>
      </c>
      <c r="I19" s="5" t="s">
        <v>53</v>
      </c>
      <c r="J19" s="5" t="s">
        <v>88</v>
      </c>
      <c r="K19" s="5" t="s">
        <v>89</v>
      </c>
      <c r="L19" s="13" t="s">
        <v>27</v>
      </c>
      <c r="M19" s="5" t="s">
        <v>49</v>
      </c>
      <c r="N19" s="6" t="s">
        <v>28</v>
      </c>
    </row>
    <row r="20" spans="1:14" ht="66.599999999999994" thickBot="1" x14ac:dyDescent="0.35">
      <c r="A20" s="5" t="s">
        <v>90</v>
      </c>
      <c r="B20" s="5" t="s">
        <v>91</v>
      </c>
      <c r="C20" s="5" t="s">
        <v>52</v>
      </c>
      <c r="D20" s="5" t="s">
        <v>20</v>
      </c>
      <c r="E20" s="5" t="s">
        <v>21</v>
      </c>
      <c r="F20" s="5" t="s">
        <v>46</v>
      </c>
      <c r="G20" s="5" t="s">
        <v>70</v>
      </c>
      <c r="H20" s="5" t="s">
        <v>24</v>
      </c>
      <c r="I20" s="5" t="s">
        <v>53</v>
      </c>
      <c r="J20" s="5" t="s">
        <v>92</v>
      </c>
      <c r="K20" s="5" t="s">
        <v>93</v>
      </c>
      <c r="L20" s="13" t="s">
        <v>27</v>
      </c>
      <c r="M20" s="5" t="s">
        <v>49</v>
      </c>
      <c r="N20" s="6" t="s">
        <v>28</v>
      </c>
    </row>
    <row r="21" spans="1:14" ht="66.599999999999994" thickBot="1" x14ac:dyDescent="0.35">
      <c r="A21" s="5" t="s">
        <v>94</v>
      </c>
      <c r="B21" s="5" t="s">
        <v>95</v>
      </c>
      <c r="C21" s="5" t="s">
        <v>96</v>
      </c>
      <c r="D21" s="5" t="s">
        <v>20</v>
      </c>
      <c r="E21" s="5" t="s">
        <v>21</v>
      </c>
      <c r="F21" s="5" t="s">
        <v>22</v>
      </c>
      <c r="G21" s="5" t="s">
        <v>31</v>
      </c>
      <c r="H21" s="5" t="s">
        <v>24</v>
      </c>
      <c r="I21" s="5" t="s">
        <v>97</v>
      </c>
      <c r="J21" s="5"/>
      <c r="K21" s="5" t="s">
        <v>98</v>
      </c>
      <c r="L21" s="13" t="s">
        <v>27</v>
      </c>
      <c r="M21" s="5"/>
      <c r="N21" s="6" t="s">
        <v>28</v>
      </c>
    </row>
    <row r="22" spans="1:14" ht="66.599999999999994" thickBot="1" x14ac:dyDescent="0.35">
      <c r="A22" s="5" t="s">
        <v>99</v>
      </c>
      <c r="B22" s="5" t="s">
        <v>100</v>
      </c>
      <c r="C22" s="5" t="s">
        <v>96</v>
      </c>
      <c r="D22" s="5" t="s">
        <v>20</v>
      </c>
      <c r="E22" s="5" t="s">
        <v>21</v>
      </c>
      <c r="F22" s="5" t="s">
        <v>22</v>
      </c>
      <c r="G22" s="5" t="s">
        <v>31</v>
      </c>
      <c r="H22" s="5" t="s">
        <v>24</v>
      </c>
      <c r="I22" s="5" t="s">
        <v>101</v>
      </c>
      <c r="J22" s="5"/>
      <c r="K22" s="5" t="s">
        <v>102</v>
      </c>
      <c r="L22" s="13" t="s">
        <v>27</v>
      </c>
      <c r="M22" s="5"/>
      <c r="N22" s="6" t="s">
        <v>28</v>
      </c>
    </row>
    <row r="23" spans="1:14" ht="66.599999999999994" thickBot="1" x14ac:dyDescent="0.35">
      <c r="A23" s="5" t="s">
        <v>103</v>
      </c>
      <c r="B23" s="5" t="s">
        <v>104</v>
      </c>
      <c r="C23" s="5" t="s">
        <v>96</v>
      </c>
      <c r="D23" s="5" t="s">
        <v>20</v>
      </c>
      <c r="E23" s="5" t="s">
        <v>21</v>
      </c>
      <c r="F23" s="5" t="s">
        <v>22</v>
      </c>
      <c r="G23" s="5" t="s">
        <v>31</v>
      </c>
      <c r="H23" s="5" t="s">
        <v>24</v>
      </c>
      <c r="I23" s="5" t="s">
        <v>105</v>
      </c>
      <c r="J23" s="5"/>
      <c r="K23" s="5" t="s">
        <v>106</v>
      </c>
      <c r="L23" s="13" t="s">
        <v>27</v>
      </c>
      <c r="M23" s="5"/>
      <c r="N23" s="6" t="s">
        <v>28</v>
      </c>
    </row>
    <row r="24" spans="1:14" ht="66.599999999999994" thickBot="1" x14ac:dyDescent="0.35">
      <c r="A24" s="5" t="s">
        <v>107</v>
      </c>
      <c r="B24" s="5" t="s">
        <v>108</v>
      </c>
      <c r="C24" s="5" t="s">
        <v>96</v>
      </c>
      <c r="D24" s="5" t="s">
        <v>20</v>
      </c>
      <c r="E24" s="5" t="s">
        <v>21</v>
      </c>
      <c r="F24" s="5" t="s">
        <v>41</v>
      </c>
      <c r="G24" s="5" t="s">
        <v>31</v>
      </c>
      <c r="H24" s="5" t="s">
        <v>24</v>
      </c>
      <c r="I24" s="5" t="s">
        <v>109</v>
      </c>
      <c r="J24" s="5"/>
      <c r="K24" s="5" t="s">
        <v>110</v>
      </c>
      <c r="L24" s="13" t="s">
        <v>27</v>
      </c>
      <c r="M24" s="5"/>
      <c r="N24" s="6" t="s">
        <v>28</v>
      </c>
    </row>
    <row r="25" spans="1:14" ht="66.599999999999994" thickBot="1" x14ac:dyDescent="0.35">
      <c r="A25" s="5" t="s">
        <v>111</v>
      </c>
      <c r="B25" s="5" t="s">
        <v>112</v>
      </c>
      <c r="C25" s="5" t="s">
        <v>96</v>
      </c>
      <c r="D25" s="5" t="s">
        <v>20</v>
      </c>
      <c r="E25" s="5" t="s">
        <v>21</v>
      </c>
      <c r="F25" s="5" t="s">
        <v>41</v>
      </c>
      <c r="G25" s="5" t="s">
        <v>70</v>
      </c>
      <c r="H25" s="5" t="s">
        <v>24</v>
      </c>
      <c r="I25" s="5" t="s">
        <v>113</v>
      </c>
      <c r="J25" s="5"/>
      <c r="K25" s="5" t="s">
        <v>114</v>
      </c>
      <c r="L25" s="13" t="s">
        <v>27</v>
      </c>
      <c r="M25" s="5"/>
      <c r="N25" s="6" t="s">
        <v>28</v>
      </c>
    </row>
    <row r="26" spans="1:14" ht="66.599999999999994" thickBot="1" x14ac:dyDescent="0.35">
      <c r="A26" s="5" t="s">
        <v>115</v>
      </c>
      <c r="B26" s="5" t="s">
        <v>116</v>
      </c>
      <c r="C26" s="5" t="s">
        <v>96</v>
      </c>
      <c r="D26" s="5" t="s">
        <v>20</v>
      </c>
      <c r="E26" s="5" t="s">
        <v>21</v>
      </c>
      <c r="F26" s="5" t="s">
        <v>22</v>
      </c>
      <c r="G26" s="5" t="s">
        <v>31</v>
      </c>
      <c r="H26" s="5" t="s">
        <v>24</v>
      </c>
      <c r="I26" s="5" t="s">
        <v>117</v>
      </c>
      <c r="J26" s="5"/>
      <c r="K26" s="5" t="s">
        <v>118</v>
      </c>
      <c r="L26" s="13" t="s">
        <v>27</v>
      </c>
      <c r="M26" s="5"/>
      <c r="N26" s="6" t="s">
        <v>28</v>
      </c>
    </row>
    <row r="27" spans="1:14" ht="66.599999999999994" thickBot="1" x14ac:dyDescent="0.35">
      <c r="A27" s="5" t="s">
        <v>119</v>
      </c>
      <c r="B27" s="5" t="s">
        <v>120</v>
      </c>
      <c r="C27" s="5" t="s">
        <v>121</v>
      </c>
      <c r="D27" s="5" t="s">
        <v>20</v>
      </c>
      <c r="E27" s="5" t="s">
        <v>21</v>
      </c>
      <c r="F27" s="5" t="s">
        <v>22</v>
      </c>
      <c r="G27" s="5" t="s">
        <v>31</v>
      </c>
      <c r="H27" s="5" t="s">
        <v>24</v>
      </c>
      <c r="I27" s="5" t="s">
        <v>122</v>
      </c>
      <c r="J27" s="5"/>
      <c r="K27" s="5" t="s">
        <v>123</v>
      </c>
      <c r="L27" s="13" t="s">
        <v>27</v>
      </c>
      <c r="M27" s="5"/>
      <c r="N27" s="6" t="s">
        <v>28</v>
      </c>
    </row>
    <row r="28" spans="1:14" ht="66.599999999999994" thickBot="1" x14ac:dyDescent="0.35">
      <c r="A28" s="5" t="s">
        <v>124</v>
      </c>
      <c r="B28" s="5" t="s">
        <v>125</v>
      </c>
      <c r="C28" s="5" t="s">
        <v>121</v>
      </c>
      <c r="D28" s="5" t="s">
        <v>20</v>
      </c>
      <c r="E28" s="5" t="s">
        <v>21</v>
      </c>
      <c r="F28" s="5" t="s">
        <v>22</v>
      </c>
      <c r="G28" s="5" t="s">
        <v>23</v>
      </c>
      <c r="H28" s="5" t="s">
        <v>24</v>
      </c>
      <c r="I28" s="5" t="s">
        <v>126</v>
      </c>
      <c r="J28" s="5"/>
      <c r="K28" s="5" t="s">
        <v>127</v>
      </c>
      <c r="L28" s="13" t="s">
        <v>27</v>
      </c>
      <c r="M28" s="5"/>
      <c r="N28" s="6" t="s">
        <v>28</v>
      </c>
    </row>
    <row r="29" spans="1:14" ht="66.599999999999994" thickBot="1" x14ac:dyDescent="0.35">
      <c r="A29" s="5" t="s">
        <v>128</v>
      </c>
      <c r="B29" s="5" t="s">
        <v>129</v>
      </c>
      <c r="C29" s="5" t="s">
        <v>121</v>
      </c>
      <c r="D29" s="5" t="s">
        <v>20</v>
      </c>
      <c r="E29" s="5" t="s">
        <v>21</v>
      </c>
      <c r="F29" s="5" t="s">
        <v>22</v>
      </c>
      <c r="G29" s="5" t="s">
        <v>31</v>
      </c>
      <c r="H29" s="5" t="s">
        <v>24</v>
      </c>
      <c r="I29" s="5" t="s">
        <v>130</v>
      </c>
      <c r="J29" s="5"/>
      <c r="K29" s="5" t="s">
        <v>131</v>
      </c>
      <c r="L29" s="13" t="s">
        <v>27</v>
      </c>
      <c r="M29" s="5"/>
      <c r="N29" s="6" t="s">
        <v>28</v>
      </c>
    </row>
    <row r="30" spans="1:14" ht="66.599999999999994" thickBot="1" x14ac:dyDescent="0.35">
      <c r="A30" s="5" t="s">
        <v>132</v>
      </c>
      <c r="B30" s="5" t="s">
        <v>133</v>
      </c>
      <c r="C30" s="5" t="s">
        <v>121</v>
      </c>
      <c r="D30" s="5" t="s">
        <v>20</v>
      </c>
      <c r="E30" s="5" t="s">
        <v>134</v>
      </c>
      <c r="F30" s="5" t="s">
        <v>22</v>
      </c>
      <c r="G30" s="5" t="s">
        <v>31</v>
      </c>
      <c r="H30" s="5" t="s">
        <v>24</v>
      </c>
      <c r="I30" s="5" t="s">
        <v>135</v>
      </c>
      <c r="J30" s="5"/>
      <c r="K30" s="5" t="s">
        <v>136</v>
      </c>
      <c r="L30" s="13" t="s">
        <v>27</v>
      </c>
      <c r="M30" s="5" t="s">
        <v>137</v>
      </c>
      <c r="N30" s="6" t="s">
        <v>28</v>
      </c>
    </row>
    <row r="31" spans="1:14" ht="66.599999999999994" thickBot="1" x14ac:dyDescent="0.35">
      <c r="A31" s="5" t="s">
        <v>138</v>
      </c>
      <c r="B31" s="5" t="s">
        <v>139</v>
      </c>
      <c r="C31" s="5" t="s">
        <v>121</v>
      </c>
      <c r="D31" s="5" t="s">
        <v>20</v>
      </c>
      <c r="E31" s="5" t="s">
        <v>21</v>
      </c>
      <c r="F31" s="5" t="s">
        <v>41</v>
      </c>
      <c r="G31" s="5" t="s">
        <v>70</v>
      </c>
      <c r="H31" s="5" t="s">
        <v>24</v>
      </c>
      <c r="I31" s="5" t="s">
        <v>140</v>
      </c>
      <c r="J31" s="5"/>
      <c r="K31" s="5" t="s">
        <v>141</v>
      </c>
      <c r="L31" s="13" t="s">
        <v>27</v>
      </c>
      <c r="M31" s="5"/>
      <c r="N31" s="6" t="s">
        <v>28</v>
      </c>
    </row>
    <row r="32" spans="1:14" ht="66.599999999999994" thickBot="1" x14ac:dyDescent="0.35">
      <c r="A32" s="5" t="s">
        <v>142</v>
      </c>
      <c r="B32" s="5" t="s">
        <v>143</v>
      </c>
      <c r="C32" s="5" t="s">
        <v>144</v>
      </c>
      <c r="D32" s="5" t="s">
        <v>20</v>
      </c>
      <c r="E32" s="5" t="s">
        <v>21</v>
      </c>
      <c r="F32" s="5" t="s">
        <v>22</v>
      </c>
      <c r="G32" s="5" t="s">
        <v>31</v>
      </c>
      <c r="H32" s="5" t="s">
        <v>145</v>
      </c>
      <c r="I32" s="5" t="s">
        <v>146</v>
      </c>
      <c r="J32" s="5"/>
      <c r="K32" s="5" t="s">
        <v>147</v>
      </c>
      <c r="L32" s="13" t="s">
        <v>27</v>
      </c>
      <c r="M32" s="5"/>
      <c r="N32" s="6" t="s">
        <v>28</v>
      </c>
    </row>
    <row r="33" spans="1:14" ht="66.599999999999994" thickBot="1" x14ac:dyDescent="0.35">
      <c r="A33" s="5" t="s">
        <v>148</v>
      </c>
      <c r="B33" s="5" t="s">
        <v>149</v>
      </c>
      <c r="C33" s="5" t="s">
        <v>144</v>
      </c>
      <c r="D33" s="5" t="s">
        <v>20</v>
      </c>
      <c r="E33" s="5" t="s">
        <v>21</v>
      </c>
      <c r="F33" s="5" t="s">
        <v>22</v>
      </c>
      <c r="G33" s="5" t="s">
        <v>31</v>
      </c>
      <c r="H33" s="5" t="s">
        <v>145</v>
      </c>
      <c r="I33" s="5" t="s">
        <v>150</v>
      </c>
      <c r="J33" s="5"/>
      <c r="K33" s="5" t="s">
        <v>151</v>
      </c>
      <c r="L33" s="13" t="s">
        <v>27</v>
      </c>
      <c r="M33" s="5"/>
      <c r="N33" s="6" t="s">
        <v>28</v>
      </c>
    </row>
    <row r="34" spans="1:14" ht="66.599999999999994" thickBot="1" x14ac:dyDescent="0.35">
      <c r="A34" s="5" t="s">
        <v>152</v>
      </c>
      <c r="B34" s="5" t="s">
        <v>153</v>
      </c>
      <c r="C34" s="5" t="s">
        <v>144</v>
      </c>
      <c r="D34" s="5" t="s">
        <v>20</v>
      </c>
      <c r="E34" s="5" t="s">
        <v>21</v>
      </c>
      <c r="F34" s="5" t="s">
        <v>41</v>
      </c>
      <c r="G34" s="5" t="s">
        <v>31</v>
      </c>
      <c r="H34" s="5" t="s">
        <v>145</v>
      </c>
      <c r="I34" s="5" t="s">
        <v>154</v>
      </c>
      <c r="J34" s="5"/>
      <c r="K34" s="5" t="s">
        <v>155</v>
      </c>
      <c r="L34" s="13" t="s">
        <v>27</v>
      </c>
      <c r="M34" s="5"/>
      <c r="N34" s="6" t="s">
        <v>28</v>
      </c>
    </row>
    <row r="35" spans="1:14" ht="40.200000000000003" thickBot="1" x14ac:dyDescent="0.35">
      <c r="A35" s="5" t="s">
        <v>156</v>
      </c>
      <c r="B35" s="5" t="s">
        <v>157</v>
      </c>
      <c r="C35" s="5" t="s">
        <v>158</v>
      </c>
      <c r="D35" s="5" t="s">
        <v>20</v>
      </c>
      <c r="E35" s="5" t="s">
        <v>21</v>
      </c>
      <c r="F35" s="5" t="s">
        <v>22</v>
      </c>
      <c r="G35" s="5" t="s">
        <v>36</v>
      </c>
      <c r="H35" s="5" t="s">
        <v>159</v>
      </c>
      <c r="I35" s="5" t="s">
        <v>160</v>
      </c>
      <c r="J35" s="5"/>
      <c r="K35" s="5" t="s">
        <v>161</v>
      </c>
      <c r="L35" s="13" t="s">
        <v>27</v>
      </c>
      <c r="M35" s="5"/>
      <c r="N35" s="6" t="s">
        <v>28</v>
      </c>
    </row>
    <row r="36" spans="1:14" ht="40.200000000000003" thickBot="1" x14ac:dyDescent="0.35">
      <c r="A36" s="5" t="s">
        <v>162</v>
      </c>
      <c r="B36" s="5" t="s">
        <v>163</v>
      </c>
      <c r="C36" s="5" t="s">
        <v>158</v>
      </c>
      <c r="D36" s="5" t="s">
        <v>20</v>
      </c>
      <c r="E36" s="5" t="s">
        <v>21</v>
      </c>
      <c r="F36" s="5" t="s">
        <v>22</v>
      </c>
      <c r="G36" s="5" t="s">
        <v>36</v>
      </c>
      <c r="H36" s="5" t="s">
        <v>164</v>
      </c>
      <c r="I36" s="5" t="s">
        <v>165</v>
      </c>
      <c r="J36" s="5"/>
      <c r="K36" s="5" t="s">
        <v>166</v>
      </c>
      <c r="L36" s="13" t="s">
        <v>27</v>
      </c>
      <c r="M36" s="5"/>
      <c r="N36" s="6" t="s">
        <v>28</v>
      </c>
    </row>
    <row r="37" spans="1:14" ht="40.200000000000003" thickBot="1" x14ac:dyDescent="0.35">
      <c r="A37" s="5" t="s">
        <v>167</v>
      </c>
      <c r="B37" s="5" t="s">
        <v>168</v>
      </c>
      <c r="C37" s="5" t="s">
        <v>158</v>
      </c>
      <c r="D37" s="5" t="s">
        <v>20</v>
      </c>
      <c r="E37" s="5" t="s">
        <v>21</v>
      </c>
      <c r="F37" s="5" t="s">
        <v>41</v>
      </c>
      <c r="G37" s="5" t="s">
        <v>36</v>
      </c>
      <c r="H37" s="5" t="s">
        <v>169</v>
      </c>
      <c r="I37" s="5" t="s">
        <v>170</v>
      </c>
      <c r="J37" s="5"/>
      <c r="K37" s="5" t="s">
        <v>166</v>
      </c>
      <c r="L37" s="13" t="s">
        <v>27</v>
      </c>
      <c r="M37" s="5"/>
      <c r="N37" s="6" t="s">
        <v>28</v>
      </c>
    </row>
    <row r="38" spans="1:14" ht="40.200000000000003" thickBot="1" x14ac:dyDescent="0.35">
      <c r="A38" s="5" t="s">
        <v>171</v>
      </c>
      <c r="B38" s="5" t="s">
        <v>172</v>
      </c>
      <c r="C38" s="5" t="s">
        <v>158</v>
      </c>
      <c r="D38" s="5" t="s">
        <v>20</v>
      </c>
      <c r="E38" s="5" t="s">
        <v>21</v>
      </c>
      <c r="F38" s="5" t="s">
        <v>41</v>
      </c>
      <c r="G38" s="5" t="s">
        <v>36</v>
      </c>
      <c r="H38" s="5" t="s">
        <v>173</v>
      </c>
      <c r="I38" s="5" t="s">
        <v>174</v>
      </c>
      <c r="J38" s="5"/>
      <c r="K38" s="5" t="s">
        <v>175</v>
      </c>
      <c r="L38" s="13" t="s">
        <v>27</v>
      </c>
      <c r="M38" s="5"/>
      <c r="N38" s="6" t="s">
        <v>28</v>
      </c>
    </row>
    <row r="39" spans="1:14" ht="40.200000000000003" thickBot="1" x14ac:dyDescent="0.35">
      <c r="A39" s="5" t="s">
        <v>176</v>
      </c>
      <c r="B39" s="5" t="s">
        <v>177</v>
      </c>
      <c r="C39" s="5" t="s">
        <v>158</v>
      </c>
      <c r="D39" s="5" t="s">
        <v>20</v>
      </c>
      <c r="E39" s="5" t="s">
        <v>21</v>
      </c>
      <c r="F39" s="5" t="s">
        <v>41</v>
      </c>
      <c r="G39" s="5" t="s">
        <v>36</v>
      </c>
      <c r="H39" s="5" t="s">
        <v>178</v>
      </c>
      <c r="I39" s="5" t="s">
        <v>179</v>
      </c>
      <c r="J39" s="5"/>
      <c r="K39" s="5" t="s">
        <v>175</v>
      </c>
      <c r="L39" s="13" t="s">
        <v>27</v>
      </c>
      <c r="M39" s="5"/>
      <c r="N39" s="6" t="s">
        <v>28</v>
      </c>
    </row>
    <row r="40" spans="1:14" ht="40.200000000000003" thickBot="1" x14ac:dyDescent="0.35">
      <c r="A40" s="5" t="s">
        <v>180</v>
      </c>
      <c r="B40" s="5" t="s">
        <v>181</v>
      </c>
      <c r="C40" s="5" t="s">
        <v>158</v>
      </c>
      <c r="D40" s="5" t="s">
        <v>20</v>
      </c>
      <c r="E40" s="5" t="s">
        <v>21</v>
      </c>
      <c r="F40" s="5" t="s">
        <v>46</v>
      </c>
      <c r="G40" s="5" t="s">
        <v>36</v>
      </c>
      <c r="H40" s="5" t="s">
        <v>182</v>
      </c>
      <c r="I40" s="5" t="s">
        <v>183</v>
      </c>
      <c r="J40" s="5"/>
      <c r="K40" s="5" t="s">
        <v>166</v>
      </c>
      <c r="L40" s="13" t="s">
        <v>27</v>
      </c>
      <c r="M40" s="5"/>
      <c r="N40" s="6" t="s">
        <v>28</v>
      </c>
    </row>
    <row r="41" spans="1:14" ht="40.200000000000003" thickBot="1" x14ac:dyDescent="0.35">
      <c r="A41" s="5" t="s">
        <v>184</v>
      </c>
      <c r="B41" s="5" t="s">
        <v>185</v>
      </c>
      <c r="C41" s="5" t="s">
        <v>186</v>
      </c>
      <c r="D41" s="5" t="s">
        <v>20</v>
      </c>
      <c r="E41" s="5" t="s">
        <v>21</v>
      </c>
      <c r="F41" s="5" t="s">
        <v>41</v>
      </c>
      <c r="G41" s="5" t="s">
        <v>187</v>
      </c>
      <c r="H41" s="5" t="s">
        <v>188</v>
      </c>
      <c r="I41" s="5" t="s">
        <v>189</v>
      </c>
      <c r="J41" s="5"/>
      <c r="K41" s="5" t="s">
        <v>190</v>
      </c>
      <c r="L41" s="13" t="s">
        <v>27</v>
      </c>
      <c r="M41" s="5"/>
      <c r="N41" s="6" t="s">
        <v>28</v>
      </c>
    </row>
    <row r="42" spans="1:14" ht="40.200000000000003" thickBot="1" x14ac:dyDescent="0.35">
      <c r="A42" s="5" t="s">
        <v>191</v>
      </c>
      <c r="B42" s="5" t="s">
        <v>192</v>
      </c>
      <c r="C42" s="5" t="s">
        <v>186</v>
      </c>
      <c r="D42" s="5" t="s">
        <v>20</v>
      </c>
      <c r="E42" s="5" t="s">
        <v>21</v>
      </c>
      <c r="F42" s="5" t="s">
        <v>46</v>
      </c>
      <c r="G42" s="5" t="s">
        <v>187</v>
      </c>
      <c r="H42" s="5" t="s">
        <v>193</v>
      </c>
      <c r="I42" s="5" t="s">
        <v>194</v>
      </c>
      <c r="J42" s="5"/>
      <c r="K42" s="5" t="s">
        <v>195</v>
      </c>
      <c r="L42" s="13" t="s">
        <v>27</v>
      </c>
      <c r="M42" s="5"/>
      <c r="N42" s="6" t="s">
        <v>28</v>
      </c>
    </row>
    <row r="43" spans="1:14" ht="40.200000000000003" thickBot="1" x14ac:dyDescent="0.35">
      <c r="A43" s="5" t="s">
        <v>196</v>
      </c>
      <c r="B43" s="5" t="s">
        <v>197</v>
      </c>
      <c r="C43" s="5" t="s">
        <v>186</v>
      </c>
      <c r="D43" s="5" t="s">
        <v>20</v>
      </c>
      <c r="E43" s="5" t="s">
        <v>21</v>
      </c>
      <c r="F43" s="5" t="s">
        <v>46</v>
      </c>
      <c r="G43" s="5" t="s">
        <v>187</v>
      </c>
      <c r="H43" s="5" t="s">
        <v>193</v>
      </c>
      <c r="I43" s="5" t="s">
        <v>198</v>
      </c>
      <c r="J43" s="5"/>
      <c r="K43" s="5" t="s">
        <v>199</v>
      </c>
      <c r="L43" s="13" t="s">
        <v>27</v>
      </c>
      <c r="M43" s="5" t="s">
        <v>49</v>
      </c>
      <c r="N43" s="6" t="s">
        <v>28</v>
      </c>
    </row>
  </sheetData>
  <autoFilter ref="A5:N43" xr:uid="{00000000-0009-0000-0000-000000000000}"/>
  <mergeCells count="3">
    <mergeCell ref="A1:N1"/>
    <mergeCell ref="A2:N2"/>
    <mergeCell ref="A3:N3"/>
  </mergeCells>
  <conditionalFormatting sqref="N6:N43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"Blocked"</formula>
    </cfRule>
  </conditionalFormatting>
  <dataValidations count="1">
    <dataValidation type="list" allowBlank="1" sqref="N6:N43" xr:uid="{00000000-0002-0000-0000-000000000000}">
      <formula1>"Pass,Fail,Blocked,Not Run"</formula1>
      <formula2>0</formula2>
    </dataValidation>
  </dataValidations>
  <hyperlinks>
    <hyperlink ref="L30" r:id="rId1" location="31548771" display="https://dev.azure.com/AgriERPProduct/Vann Brothers/_workitems/edit/25969 - 31548771" xr:uid="{7DDF27A0-0891-426F-94E0-5D0523BB083F}"/>
    <hyperlink ref="L31" r:id="rId2" location="31548771" display="https://dev.azure.com/AgriERPProduct/Vann Brothers/_workitems/edit/25969 - 31548771" xr:uid="{9BFE882D-2DCC-41BC-8DF6-9790D81CE0F2}"/>
    <hyperlink ref="L32" r:id="rId3" location="31548771" display="https://dev.azure.com/AgriERPProduct/Vann Brothers/_workitems/edit/25969 - 31548771" xr:uid="{817D4E3E-649C-4FA4-8DEF-4FDD0E448145}"/>
    <hyperlink ref="L33" r:id="rId4" location="31548771" display="https://dev.azure.com/AgriERPProduct/Vann Brothers/_workitems/edit/25969 - 31548771" xr:uid="{932BEB1E-35A7-4917-B2C7-EE9F2A70417D}"/>
    <hyperlink ref="L34" r:id="rId5" location="31548771" display="https://dev.azure.com/AgriERPProduct/Vann Brothers/_workitems/edit/25969 - 31548771" xr:uid="{7E34A27A-AA7B-40C3-9D8C-56AFB288021D}"/>
    <hyperlink ref="L35" r:id="rId6" location="31548771" display="https://dev.azure.com/AgriERPProduct/Vann Brothers/_workitems/edit/25969 - 31548771" xr:uid="{E8B10F82-388C-4D30-8F1A-2EFB3EE71ED8}"/>
    <hyperlink ref="L36" r:id="rId7" location="31548771" display="https://dev.azure.com/AgriERPProduct/Vann Brothers/_workitems/edit/25969 - 31548771" xr:uid="{CC2B84C3-1ED4-46F2-A084-A2C7B8B3B813}"/>
    <hyperlink ref="L37" r:id="rId8" location="31548771" display="https://dev.azure.com/AgriERPProduct/Vann Brothers/_workitems/edit/25969 - 31548771" xr:uid="{B970F6B7-DC2A-4E25-8AD5-F8EE91D5C8DA}"/>
    <hyperlink ref="L38" r:id="rId9" location="31548771" display="https://dev.azure.com/AgriERPProduct/Vann Brothers/_workitems/edit/25969 - 31548771" xr:uid="{33357179-CFEE-4C42-A825-1A66EE78BF85}"/>
    <hyperlink ref="L39" r:id="rId10" location="31548771" display="https://dev.azure.com/AgriERPProduct/Vann Brothers/_workitems/edit/25969 - 31548771" xr:uid="{19202D2D-47EB-43D9-B816-F9F773AD3BC7}"/>
    <hyperlink ref="L40" r:id="rId11" location="31548771" display="https://dev.azure.com/AgriERPProduct/Vann Brothers/_workitems/edit/25969 - 31548771" xr:uid="{F8FB45CA-BE5D-476E-9E71-282755421C9C}"/>
    <hyperlink ref="L41" r:id="rId12" location="31548771" display="https://dev.azure.com/AgriERPProduct/Vann Brothers/_workitems/edit/25969 - 31548771" xr:uid="{C417DACC-039C-4F48-BEDF-59BFABDDD6A2}"/>
    <hyperlink ref="L42" r:id="rId13" location="31548771" display="https://dev.azure.com/AgriERPProduct/Vann Brothers/_workitems/edit/25969 - 31548771" xr:uid="{670175E3-815F-4209-B346-507AC61FE693}"/>
    <hyperlink ref="L43" r:id="rId14" location="31548771" display="https://dev.azure.com/AgriERPProduct/Vann Brothers/_workitems/edit/25969 - 31548771" xr:uid="{98D55AF8-8BFB-4407-B027-22BFB4C52F5C}"/>
    <hyperlink ref="L6" r:id="rId15" location="31548771" display="https://dev.azure.com/AgriERPProduct/Vann Brothers/_workitems/edit/25969 - 31548771" xr:uid="{2C395D8A-54B9-4CC4-8E08-53312AD7D45B}"/>
    <hyperlink ref="L7" r:id="rId16" location="31548771" display="https://dev.azure.com/AgriERPProduct/Vann Brothers/_workitems/edit/25969 - 31548771" xr:uid="{2E9442C1-DD5E-4B67-9FD4-92ECD2F96326}"/>
    <hyperlink ref="L8" r:id="rId17" location="31548771" display="https://dev.azure.com/AgriERPProduct/Vann Brothers/_workitems/edit/25969 - 31548771" xr:uid="{27168B4F-8C21-4F62-8DA9-A384132DFF96}"/>
    <hyperlink ref="L9" r:id="rId18" location="31548771" display="https://dev.azure.com/AgriERPProduct/Vann Brothers/_workitems/edit/25969 - 31548771" xr:uid="{72324E06-8102-4A25-AD5D-269B88F8BEDD}"/>
    <hyperlink ref="L10" r:id="rId19" location="31548771" display="https://dev.azure.com/AgriERPProduct/Vann Brothers/_workitems/edit/25969 - 31548771" xr:uid="{09D132EC-B322-4CBC-91E4-328B3C331FDA}"/>
    <hyperlink ref="L11" r:id="rId20" location="31548771" display="https://dev.azure.com/AgriERPProduct/Vann Brothers/_workitems/edit/25969 - 31548771" xr:uid="{D54D3060-BEBC-4348-86DC-FF051A320C1F}"/>
    <hyperlink ref="L12" r:id="rId21" location="31548771" display="https://dev.azure.com/AgriERPProduct/Vann Brothers/_workitems/edit/25969 - 31548771" xr:uid="{6B47F76B-0C82-4065-8196-273288DA9209}"/>
    <hyperlink ref="L13" r:id="rId22" location="31548771" display="https://dev.azure.com/AgriERPProduct/Vann Brothers/_workitems/edit/25969 - 31548771" xr:uid="{11D1E18F-76F5-431D-A482-B765036D7849}"/>
    <hyperlink ref="L14" r:id="rId23" location="31548771" display="https://dev.azure.com/AgriERPProduct/Vann Brothers/_workitems/edit/25969 - 31548771" xr:uid="{0D5D5CDD-700E-4527-9EE2-3DDED2CA1B7B}"/>
    <hyperlink ref="L15" r:id="rId24" location="31548771" display="https://dev.azure.com/AgriERPProduct/Vann Brothers/_workitems/edit/25969 - 31548771" xr:uid="{CD1951AC-D2FC-45DA-8833-AA4D828FF29E}"/>
    <hyperlink ref="L16" r:id="rId25" location="31548771" display="https://dev.azure.com/AgriERPProduct/Vann Brothers/_workitems/edit/25969 - 31548771" xr:uid="{0C2555B2-8AD3-4E9F-BB1E-9678A67ACF8F}"/>
    <hyperlink ref="L17" r:id="rId26" location="31548771" display="https://dev.azure.com/AgriERPProduct/Vann Brothers/_workitems/edit/25969 - 31548771" xr:uid="{5CA6BFE6-947E-4DB5-BDF5-E7FE7CFA61E9}"/>
    <hyperlink ref="L18" r:id="rId27" location="31548771" display="https://dev.azure.com/AgriERPProduct/Vann Brothers/_workitems/edit/25969 - 31548771" xr:uid="{4FC1B960-6C90-42C8-A54C-B5AF99452427}"/>
    <hyperlink ref="L19" r:id="rId28" location="31548771" display="https://dev.azure.com/AgriERPProduct/Vann Brothers/_workitems/edit/25969 - 31548771" xr:uid="{54A7F081-F762-4522-9996-6FC3D6EA02CC}"/>
    <hyperlink ref="L20" r:id="rId29" location="31548771" display="https://dev.azure.com/AgriERPProduct/Vann Brothers/_workitems/edit/25969 - 31548771" xr:uid="{92886F45-EB36-4620-ACDE-D9C5414F4C0F}"/>
    <hyperlink ref="L21" r:id="rId30" location="31548771" display="https://dev.azure.com/AgriERPProduct/Vann Brothers/_workitems/edit/25969 - 31548771" xr:uid="{5F1C7B2B-A1C5-46B6-8115-B4B0966E1667}"/>
    <hyperlink ref="L22" r:id="rId31" location="31548771" display="https://dev.azure.com/AgriERPProduct/Vann Brothers/_workitems/edit/25969 - 31548771" xr:uid="{7DC2D661-C2C3-4B35-8D85-4469310265DF}"/>
    <hyperlink ref="L23" r:id="rId32" location="31548771" display="https://dev.azure.com/AgriERPProduct/Vann Brothers/_workitems/edit/25969 - 31548771" xr:uid="{DBBE4556-5454-463E-AFA7-1DF994AF033E}"/>
    <hyperlink ref="L24" r:id="rId33" location="31548771" display="https://dev.azure.com/AgriERPProduct/Vann Brothers/_workitems/edit/25969 - 31548771" xr:uid="{8CC2A9AC-CD89-4DFE-BDFA-FFE55EF54AB2}"/>
    <hyperlink ref="L25" r:id="rId34" location="31548771" display="https://dev.azure.com/AgriERPProduct/Vann Brothers/_workitems/edit/25969 - 31548771" xr:uid="{441D7109-DF29-45C6-8FA2-19A1787F9530}"/>
    <hyperlink ref="L26" r:id="rId35" location="31548771" display="https://dev.azure.com/AgriERPProduct/Vann Brothers/_workitems/edit/25969 - 31548771" xr:uid="{3741D481-6893-4A8C-B11B-4C778CC3E6B1}"/>
    <hyperlink ref="L27" r:id="rId36" location="31548771" display="https://dev.azure.com/AgriERPProduct/Vann Brothers/_workitems/edit/25969 - 31548771" xr:uid="{0E90AC60-D115-426B-8026-791A76D3FD8E}"/>
    <hyperlink ref="L28" r:id="rId37" location="31548771" display="https://dev.azure.com/AgriERPProduct/Vann Brothers/_workitems/edit/25969 - 31548771" xr:uid="{E2B818CF-7568-4829-84F0-E9DB1B7E101C}"/>
    <hyperlink ref="L29" r:id="rId38" location="31548771" display="https://dev.azure.com/AgriERPProduct/Vann Brothers/_workitems/edit/25969 - 31548771" xr:uid="{36889D22-ED6B-4F07-BF95-A8DAF7E30F88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defaultColWidth="8.6640625" defaultRowHeight="14.4" x14ac:dyDescent="0.3"/>
  <cols>
    <col min="1" max="1" width="44" customWidth="1"/>
    <col min="2" max="2" width="24" customWidth="1"/>
  </cols>
  <sheetData>
    <row r="1" spans="1:2" ht="17.399999999999999" x14ac:dyDescent="0.3">
      <c r="A1" s="3" t="s">
        <v>200</v>
      </c>
    </row>
    <row r="3" spans="1:2" x14ac:dyDescent="0.3">
      <c r="A3" s="7" t="s">
        <v>201</v>
      </c>
      <c r="B3" s="7" t="s">
        <v>202</v>
      </c>
    </row>
    <row r="4" spans="1:2" x14ac:dyDescent="0.3">
      <c r="A4" s="8" t="s">
        <v>203</v>
      </c>
      <c r="B4" s="8">
        <f>COUNTIF('Test Cases'!$N$6:$N$43,"Pass")</f>
        <v>0</v>
      </c>
    </row>
    <row r="5" spans="1:2" x14ac:dyDescent="0.3">
      <c r="A5" s="8" t="s">
        <v>204</v>
      </c>
      <c r="B5" s="8">
        <f>COUNTIF('Test Cases'!$N$6:$N$43,"Fail")</f>
        <v>0</v>
      </c>
    </row>
    <row r="6" spans="1:2" x14ac:dyDescent="0.3">
      <c r="A6" s="8" t="s">
        <v>205</v>
      </c>
      <c r="B6" s="8">
        <f>COUNTIF('Test Cases'!$N$6:$N$43,"Blocked")</f>
        <v>0</v>
      </c>
    </row>
    <row r="7" spans="1:2" x14ac:dyDescent="0.3">
      <c r="A7" s="8" t="s">
        <v>28</v>
      </c>
      <c r="B7" s="8">
        <f>COUNTIF('Test Cases'!$N$6:$N$43,"Not Run")</f>
        <v>38</v>
      </c>
    </row>
    <row r="8" spans="1:2" x14ac:dyDescent="0.3">
      <c r="A8" s="7" t="s">
        <v>206</v>
      </c>
      <c r="B8" s="7">
        <f>SUM(B4:B7)</f>
        <v>38</v>
      </c>
    </row>
    <row r="10" spans="1:2" x14ac:dyDescent="0.3">
      <c r="A10" s="7" t="s">
        <v>207</v>
      </c>
      <c r="B10" s="7" t="s">
        <v>202</v>
      </c>
    </row>
    <row r="11" spans="1:2" x14ac:dyDescent="0.3">
      <c r="A11" s="8" t="s">
        <v>22</v>
      </c>
      <c r="B11" s="8">
        <f>COUNTIF('Test Cases'!$F$6:$F$43,"P1")</f>
        <v>19</v>
      </c>
    </row>
    <row r="12" spans="1:2" x14ac:dyDescent="0.3">
      <c r="A12" s="8" t="s">
        <v>41</v>
      </c>
      <c r="B12" s="8">
        <f>COUNTIF('Test Cases'!$F$6:$F$43,"P2")</f>
        <v>14</v>
      </c>
    </row>
    <row r="13" spans="1:2" x14ac:dyDescent="0.3">
      <c r="A13" s="8" t="s">
        <v>46</v>
      </c>
      <c r="B13" s="8">
        <f>COUNTIF('Test Cases'!$F$6:$F$43,"P3")</f>
        <v>5</v>
      </c>
    </row>
    <row r="14" spans="1:2" x14ac:dyDescent="0.3">
      <c r="A14" s="7" t="s">
        <v>206</v>
      </c>
      <c r="B14" s="7">
        <f>SUM(B11:B13)</f>
        <v>38</v>
      </c>
    </row>
    <row r="16" spans="1:2" x14ac:dyDescent="0.3">
      <c r="A16" s="7" t="s">
        <v>208</v>
      </c>
      <c r="B16" s="7" t="s">
        <v>202</v>
      </c>
    </row>
    <row r="17" spans="1:2" x14ac:dyDescent="0.3">
      <c r="A17" s="8" t="s">
        <v>19</v>
      </c>
      <c r="B17" s="8">
        <f>COUNTIF('Test Cases'!$C$6:$C$43,"Display and default")</f>
        <v>5</v>
      </c>
    </row>
    <row r="18" spans="1:2" x14ac:dyDescent="0.3">
      <c r="A18" s="8" t="s">
        <v>52</v>
      </c>
      <c r="B18" s="8">
        <f>COUNTIF('Test Cases'!$C$6:$C$43,"Distribution and rounding (Distribute equally)")</f>
        <v>10</v>
      </c>
    </row>
    <row r="19" spans="1:2" x14ac:dyDescent="0.3">
      <c r="A19" s="8" t="s">
        <v>96</v>
      </c>
      <c r="B19" s="8">
        <f>COUNTIF('Test Cases'!$C$6:$C$43,"Selection changes")</f>
        <v>6</v>
      </c>
    </row>
    <row r="20" spans="1:2" x14ac:dyDescent="0.3">
      <c r="A20" s="8" t="s">
        <v>121</v>
      </c>
      <c r="B20" s="8">
        <f>COUNTIF('Test Cases'!$C$6:$C$43,"Switching back and saving")</f>
        <v>5</v>
      </c>
    </row>
    <row r="21" spans="1:2" x14ac:dyDescent="0.3">
      <c r="A21" s="8" t="s">
        <v>144</v>
      </c>
      <c r="B21" s="8">
        <f>COUNTIF('Test Cases'!$C$6:$C$43,"Multi-block End Job")</f>
        <v>3</v>
      </c>
    </row>
    <row r="22" spans="1:2" x14ac:dyDescent="0.3">
      <c r="A22" s="8" t="s">
        <v>158</v>
      </c>
      <c r="B22" s="8">
        <f>COUNTIF('Test Cases'!$C$6:$C$43,"Regression: option must not appear")</f>
        <v>6</v>
      </c>
    </row>
    <row r="23" spans="1:2" x14ac:dyDescent="0.3">
      <c r="A23" s="8" t="s">
        <v>186</v>
      </c>
      <c r="B23" s="8">
        <f>COUNTIF('Test Cases'!$C$6:$C$43,"UI and language")</f>
        <v>3</v>
      </c>
    </row>
    <row r="24" spans="1:2" x14ac:dyDescent="0.3">
      <c r="A24" s="7" t="s">
        <v>206</v>
      </c>
      <c r="B24" s="7">
        <f>SUM(B17:B23)</f>
        <v>38</v>
      </c>
    </row>
    <row r="26" spans="1:2" x14ac:dyDescent="0.3">
      <c r="A26" s="7" t="s">
        <v>209</v>
      </c>
    </row>
    <row r="27" spans="1:2" x14ac:dyDescent="0.3">
      <c r="A27" s="8" t="s">
        <v>210</v>
      </c>
      <c r="B27" s="9"/>
    </row>
    <row r="28" spans="1:2" x14ac:dyDescent="0.3">
      <c r="A28" s="8" t="s">
        <v>211</v>
      </c>
      <c r="B28" s="9"/>
    </row>
    <row r="29" spans="1:2" x14ac:dyDescent="0.3">
      <c r="A29" s="8" t="s">
        <v>212</v>
      </c>
      <c r="B29" s="9"/>
    </row>
    <row r="30" spans="1:2" x14ac:dyDescent="0.3">
      <c r="A30" s="8" t="s">
        <v>213</v>
      </c>
      <c r="B30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zoomScaleNormal="100" workbookViewId="0"/>
  </sheetViews>
  <sheetFormatPr defaultColWidth="8.6640625" defaultRowHeight="14.4" x14ac:dyDescent="0.3"/>
  <cols>
    <col min="1" max="1" width="18" customWidth="1"/>
    <col min="2" max="2" width="110" customWidth="1"/>
  </cols>
  <sheetData>
    <row r="1" spans="1:2" ht="17.399999999999999" x14ac:dyDescent="0.3">
      <c r="A1" s="3" t="s">
        <v>214</v>
      </c>
    </row>
    <row r="3" spans="1:2" x14ac:dyDescent="0.3">
      <c r="A3" s="10" t="s">
        <v>215</v>
      </c>
      <c r="B3" s="10" t="s">
        <v>216</v>
      </c>
    </row>
    <row r="4" spans="1:2" x14ac:dyDescent="0.3">
      <c r="A4" s="11" t="s">
        <v>217</v>
      </c>
      <c r="B4" s="11" t="s">
        <v>218</v>
      </c>
    </row>
    <row r="5" spans="1:2" ht="27.6" x14ac:dyDescent="0.3">
      <c r="A5" s="11" t="s">
        <v>219</v>
      </c>
      <c r="B5" s="11" t="s">
        <v>220</v>
      </c>
    </row>
    <row r="6" spans="1:2" x14ac:dyDescent="0.3">
      <c r="A6" s="11" t="s">
        <v>221</v>
      </c>
      <c r="B6" s="11" t="s">
        <v>222</v>
      </c>
    </row>
    <row r="7" spans="1:2" x14ac:dyDescent="0.3">
      <c r="A7" s="11" t="s">
        <v>223</v>
      </c>
      <c r="B7" s="11" t="s">
        <v>224</v>
      </c>
    </row>
    <row r="8" spans="1:2" x14ac:dyDescent="0.3">
      <c r="A8" s="11" t="s">
        <v>225</v>
      </c>
      <c r="B8" s="11" t="s">
        <v>226</v>
      </c>
    </row>
    <row r="9" spans="1:2" x14ac:dyDescent="0.3">
      <c r="A9" s="11" t="s">
        <v>227</v>
      </c>
      <c r="B9" s="11" t="s">
        <v>228</v>
      </c>
    </row>
    <row r="10" spans="1:2" x14ac:dyDescent="0.3">
      <c r="A10" s="11" t="s">
        <v>229</v>
      </c>
      <c r="B10" s="11" t="s">
        <v>230</v>
      </c>
    </row>
    <row r="11" spans="1:2" ht="27.6" x14ac:dyDescent="0.3">
      <c r="A11" s="11" t="s">
        <v>231</v>
      </c>
      <c r="B11" s="11" t="s">
        <v>232</v>
      </c>
    </row>
    <row r="13" spans="1:2" x14ac:dyDescent="0.3">
      <c r="A13" s="7" t="s">
        <v>233</v>
      </c>
    </row>
    <row r="14" spans="1:2" x14ac:dyDescent="0.3">
      <c r="A14" s="8" t="s">
        <v>234</v>
      </c>
    </row>
    <row r="15" spans="1:2" x14ac:dyDescent="0.3">
      <c r="A15" s="8" t="s">
        <v>235</v>
      </c>
    </row>
    <row r="16" spans="1:2" x14ac:dyDescent="0.3">
      <c r="A16" s="8" t="s">
        <v>236</v>
      </c>
    </row>
    <row r="17" spans="1:1" x14ac:dyDescent="0.3">
      <c r="A17" s="8" t="s">
        <v>237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Test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Zujaj Misbah Khan</cp:lastModifiedBy>
  <cp:revision>0</cp:revision>
  <dcterms:created xsi:type="dcterms:W3CDTF">2026-10-09T10:45:26Z</dcterms:created>
  <dcterms:modified xsi:type="dcterms:W3CDTF">2026-10-09T11:30:29Z</dcterms:modified>
  <dc:language>en-US</dc:language>
</cp:coreProperties>
</file>