
<file path=[Content_Types].xml><?xml version="1.0" encoding="utf-8"?>
<Types xmlns="http://schemas.openxmlformats.org/package/2006/content-types">
  <Default ContentType="application/xml" Extension="xml"/>
  <Default ContentType="application/vnd.openxmlformats-officedocument.obfuscatedFont" Extension="odttf"/>
  <Default ContentType="application/vnd.openxmlformats-package.relationships+xml" Extension="rels"/>
  <Override ContentType="application/vnd.openxmlformats-officedocument.spreadsheetml.worksheet+xml" PartName="/xl/worksheets/sheet1.xml"/>
  <Override ContentType="application/binary" PartName="/xl/metadata"/>
  <Override ContentType="application/vnd.openxmlformats-officedocument.spreadsheetml.sharedStrings+xml" PartName="/xl/sharedStrings.xml"/>
  <Override ContentType="application/vnd.openxmlformats-officedocument.drawing+xml" PartName="/xl/drawings/drawing1.xml"/>
  <Override ContentType="application/vnd.ms-excel.sheet.macroEnabled.main+xml" PartName="/xl/workbook.xml"/>
  <Override ContentType="application/vnd.openxmlformats-officedocument.spreadsheetml.styles+xml" PartName="/xl/styles.xml"/>
  <Override ContentType="application/vnd.openxmlformats-officedocument.theme+xml" PartName="/xl/theme/theme1.xml"/>
</Types>
</file>

<file path=_rels/.rels><?xml version="1.0" encoding="UTF-8" standalone="yes"?><Relationships xmlns="http://schemas.openxmlformats.org/package/2006/relationships"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workbookPr/>
  <sheets>
    <sheet state="visible" name="Hour distribution " sheetId="1" r:id="rId4"/>
  </sheets>
  <definedNames/>
  <calcPr/>
  <extLst>
    <ext uri="GoogleSheetsCustomDataVersion2">
      <go:sheetsCustomData xmlns:go="http://customooxmlschemas.google.com/" r:id="rId5" roundtripDataChecksum="It+X1kWftZti5ihbKiNCk0Tadep/4OA0psDf9sa7WqQ="/>
    </ext>
  </extLst>
</workbook>
</file>

<file path=xl/sharedStrings.xml><?xml version="1.0" encoding="utf-8"?>
<sst xmlns="http://schemas.openxmlformats.org/spreadsheetml/2006/main" count="570" uniqueCount="97">
  <si>
    <t>Acre Weighted Hours - Case Wise Output with Adjustment Before/After</t>
  </si>
  <si>
    <t xml:space="preserve">Weighted Hours = (Overlap Hours * (Plot Acres / Total Active Acres in that overlap time)) + Non-overlap hours. </t>
  </si>
  <si>
    <t>Case 1 - Single WO + single plot. No distribution required.</t>
  </si>
  <si>
    <t>Input Lines</t>
  </si>
  <si>
    <t>Work Order</t>
  </si>
  <si>
    <t>Resource</t>
  </si>
  <si>
    <t>Machine</t>
  </si>
  <si>
    <t>Plot</t>
  </si>
  <si>
    <t>Acres</t>
  </si>
  <si>
    <t>Start</t>
  </si>
  <si>
    <t>End</t>
  </si>
  <si>
    <t>Raw Duration</t>
  </si>
  <si>
    <t>WO-1</t>
  </si>
  <si>
    <t>Resource 1</t>
  </si>
  <si>
    <t>Machine 1</t>
  </si>
  <si>
    <t>Plot 1</t>
  </si>
  <si>
    <t>Final Output After Acre Weighted Distribution</t>
  </si>
  <si>
    <t>Time Range</t>
  </si>
  <si>
    <t>Final Resource Hrs</t>
  </si>
  <si>
    <t>Final Machine Hrs</t>
  </si>
  <si>
    <t>Start-ordered Distributed Time Range</t>
  </si>
  <si>
    <t>Result Note</t>
  </si>
  <si>
    <t>2:00 - 4:00</t>
  </si>
  <si>
    <t>No split</t>
  </si>
  <si>
    <t>Case 2 - Same WO, same time, two plots. 2 total hours split by acres 100:50.</t>
  </si>
  <si>
    <t>Plot 2</t>
  </si>
  <si>
    <t>Acre weighted split</t>
  </si>
  <si>
    <t>Case 3 - Same WO, Plot 1 runs 2-4 and Plot 2 runs 3-4. Only 3-4 is split by acres.</t>
  </si>
  <si>
    <t>3:00 - 4:00</t>
  </si>
  <si>
    <t>Case 4 - Same resource/machine across two work orders. Overlap 2-3 is split by active acres.</t>
  </si>
  <si>
    <t>WO-2</t>
  </si>
  <si>
    <t>2:00 - 5:00</t>
  </si>
  <si>
    <t>1:00 - 3:00</t>
  </si>
  <si>
    <t>Case 5 - Complex overlap across WO-1 and WO-2. Every time segment is split by active acres.</t>
  </si>
  <si>
    <t>end</t>
  </si>
  <si>
    <t>overlap</t>
  </si>
  <si>
    <t>non OP</t>
  </si>
  <si>
    <t>TAA</t>
  </si>
  <si>
    <t>Plot 3</t>
  </si>
  <si>
    <t>2:30 - 3:30</t>
  </si>
  <si>
    <t>2:15 - 3:45</t>
  </si>
  <si>
    <t>1:00 - 6:00</t>
  </si>
  <si>
    <t>Case 6 - Adjustment: WO-1 Plot 1 was 2:00-4:00, updated to 2:00-5:00. System rechecks WO-2 overlap.</t>
  </si>
  <si>
    <t>Actual / Before Update Lines</t>
  </si>
  <si>
    <t>Updated / After Update Lines</t>
  </si>
  <si>
    <t>Before vs After Output</t>
  </si>
  <si>
    <t>Actual / Before Time</t>
  </si>
  <si>
    <t>Updated / After Time</t>
  </si>
  <si>
    <t>Before Final Hrs</t>
  </si>
  <si>
    <t>After Final Hrs</t>
  </si>
  <si>
    <t>Before Adjusted Start Time</t>
  </si>
  <si>
    <t>Before Adjusted End Time</t>
  </si>
  <si>
    <t>After Adjusted Start Time</t>
  </si>
  <si>
    <t>After Adjusted End Time</t>
  </si>
  <si>
    <t>Delta / Impact</t>
  </si>
  <si>
    <t>3:00 - 6:00</t>
  </si>
  <si>
    <t>Case 7 - Adjustment: same plot exists in two work orders. WO-1 changed from 2:00-4:00 to 2:00-4:30.</t>
  </si>
  <si>
    <t>2:00 - 4:30</t>
  </si>
  <si>
    <t>3:00 - 5:00</t>
  </si>
  <si>
    <t>Case 8 - Complex adjustment: WO-1 Plot 1 was 2:00-4:00, updated to 2:00-5:00. All overlapping plots are recalculated.</t>
  </si>
  <si>
    <t>NOTE: Resource Hours Adjustment will not impact Machine Hours Adjustment.</t>
  </si>
  <si>
    <t>After Final Hrs
(Resource)</t>
  </si>
  <si>
    <t>After Final Hrs
(Machine)</t>
  </si>
  <si>
    <t>Case 9 - Update edge case: 2-4 and 3-4 before; after the 3:20-4 distributed entry is deleted/voided. No overlap adjustment should run.</t>
  </si>
  <si>
    <t>Rule Note</t>
  </si>
  <si>
    <t>The original overlapping jobs distribute into 2:00-3:20 and 3:20-4:00 based on acre weighting. When the 3:20-4:00 entry is deleted/voided, only 2:00-3:20 remains active; therefore there is no overlap and no redistribution should run.</t>
  </si>
  <si>
    <t>Status</t>
  </si>
  <si>
    <t>2:00</t>
  </si>
  <si>
    <t>4:00</t>
  </si>
  <si>
    <t>Active</t>
  </si>
  <si>
    <t>Original job before adjustment</t>
  </si>
  <si>
    <t>3:00</t>
  </si>
  <si>
    <t>Original overlapping job before adjustment</t>
  </si>
  <si>
    <t>After Distribution</t>
  </si>
  <si>
    <t>3:20</t>
  </si>
  <si>
    <t>Only active worked time remains</t>
  </si>
  <si>
    <t>Deleted / Voided</t>
  </si>
  <si>
    <t>Excluded from overlap adjustment</t>
  </si>
  <si>
    <t>Adjustment Rule / Status</t>
  </si>
  <si>
    <t>2:00 - 3:20</t>
  </si>
  <si>
    <t>1.3333 → 1.3333 hrs (Delta 0.0000)</t>
  </si>
  <si>
    <t>No overlap after deletion; keep actual active time 2:00-3:20</t>
  </si>
  <si>
    <t>3:20 - 4:00 (Deleted/Void)</t>
  </si>
  <si>
    <t>VOIDED</t>
  </si>
  <si>
    <t>0.6667 → 0.0000 hrs (Delta -0.6667)</t>
  </si>
  <si>
    <t>Deleted/voided row; excluded from recalculation</t>
  </si>
  <si>
    <t>Case 10 - Update edge case: 2-4 and 3-4 before; after 2:00-3:20 is edited to 2:00-3:00 while 3:20-4:00 remains. No overlap adjustment should run.</t>
  </si>
  <si>
    <t>The after-adjustment entries do not overlap because WO-1 ends at 3:00 and WO-2 starts at 3:20. The gap from 3:00-3:20 is not distributed. Each job keeps its own adjusted start and end time.</t>
  </si>
  <si>
    <t>After Distribution
/Adjustment</t>
  </si>
  <si>
    <t>Edited from 2:00-3:20 to 2:00-3:00</t>
  </si>
  <si>
    <t>No overlap with WO-1 after update</t>
  </si>
  <si>
    <t>2:00 - 3:00</t>
  </si>
  <si>
    <t>1.3333 → 1.0000 hrs (Delta -0.3333)</t>
  </si>
  <si>
    <t>No overlap after update; keep actual adjusted time 2:00-3:00</t>
  </si>
  <si>
    <t>3:20 - 4:00</t>
  </si>
  <si>
    <t>0.6667 → 0.6667 hrs (Delta 0.0000)</t>
  </si>
  <si>
    <t>No overlap after update; keep actual adjusted time 3:20-4:00</t>
  </si>
</sst>
</file>

<file path=xl/styles.xml><?xml version="1.0" encoding="utf-8"?>
<styleSheet xmlns="http://schemas.openxmlformats.org/spreadsheetml/2006/main" xmlns:x14ac="http://schemas.microsoft.com/office/spreadsheetml/2009/9/ac" xmlns:mc="http://schemas.openxmlformats.org/markup-compatibility/2006">
  <numFmts count="1">
    <numFmt numFmtId="164" formatCode="0.0000"/>
  </numFmts>
  <fonts count="10">
    <font>
      <sz val="11.0"/>
      <color rgb="FF000000"/>
      <name val="Arial"/>
      <scheme val="minor"/>
    </font>
    <font>
      <b/>
      <sz val="12.0"/>
      <color rgb="FFFFFFFF"/>
      <name val="Carlito"/>
    </font>
    <font>
      <sz val="11.0"/>
      <color rgb="FF000000"/>
      <name val="Carlito"/>
    </font>
    <font>
      <color rgb="FF000000"/>
      <name val="Carlito"/>
    </font>
    <font>
      <b/>
      <sz val="11.0"/>
      <color rgb="FF1F4E79"/>
      <name val="Carlito"/>
    </font>
    <font>
      <b/>
      <sz val="11.0"/>
      <color rgb="FF000000"/>
      <name val="Carlito"/>
    </font>
    <font>
      <color theme="1"/>
      <name val="Carlito"/>
    </font>
    <font>
      <sz val="11.0"/>
      <color theme="1"/>
      <name val="Carlito"/>
    </font>
    <font>
      <color theme="1"/>
      <name val="Arial"/>
      <scheme val="minor"/>
    </font>
    <font>
      <b/>
      <sz val="11.0"/>
      <color rgb="FFFFFFFF"/>
      <name val="Carlito"/>
    </font>
  </fonts>
  <fills count="13">
    <fill>
      <patternFill patternType="none"/>
    </fill>
    <fill>
      <patternFill patternType="lightGray"/>
    </fill>
    <fill>
      <patternFill patternType="solid">
        <fgColor rgb="FF1F4E79"/>
        <bgColor rgb="FF1F4E79"/>
      </patternFill>
    </fill>
    <fill>
      <patternFill patternType="solid">
        <fgColor rgb="FFFF9900"/>
        <bgColor rgb="FFFF9900"/>
      </patternFill>
    </fill>
    <fill>
      <patternFill patternType="solid">
        <fgColor rgb="FFDDEBF7"/>
        <bgColor rgb="FFDDEBF7"/>
      </patternFill>
    </fill>
    <fill>
      <patternFill patternType="solid">
        <fgColor rgb="FFE2F0D9"/>
        <bgColor rgb="FFE2F0D9"/>
      </patternFill>
    </fill>
    <fill>
      <patternFill patternType="solid">
        <fgColor rgb="FFD9EAF7"/>
        <bgColor rgb="FFD9EAF7"/>
      </patternFill>
    </fill>
    <fill>
      <patternFill patternType="solid">
        <fgColor rgb="FFF4B183"/>
        <bgColor rgb="FFF4B183"/>
      </patternFill>
    </fill>
    <fill>
      <patternFill patternType="solid">
        <fgColor rgb="FFFFF2CC"/>
        <bgColor rgb="FFFFF2CC"/>
      </patternFill>
    </fill>
    <fill>
      <patternFill patternType="solid">
        <fgColor rgb="FFE7E6E6"/>
        <bgColor rgb="FFE7E6E6"/>
      </patternFill>
    </fill>
    <fill>
      <patternFill patternType="solid">
        <fgColor rgb="FF4472C4"/>
        <bgColor rgb="FF4472C4"/>
      </patternFill>
    </fill>
    <fill>
      <patternFill patternType="solid">
        <fgColor rgb="FF70AD47"/>
        <bgColor rgb="FF70AD47"/>
      </patternFill>
    </fill>
    <fill>
      <patternFill patternType="solid">
        <fgColor rgb="FFFCE4D6"/>
        <bgColor rgb="FFFCE4D6"/>
      </patternFill>
    </fill>
  </fills>
  <borders count="1">
    <border/>
  </borders>
  <cellStyleXfs count="1">
    <xf borderId="0" fillId="0" fontId="0" numFmtId="0" applyAlignment="1" applyFont="1"/>
  </cellStyleXfs>
  <cellXfs count="53">
    <xf borderId="0" fillId="0" fontId="0" numFmtId="0" xfId="0" applyAlignment="1" applyFont="1">
      <alignment readingOrder="0" shrinkToFit="0" vertical="bottom" wrapText="0"/>
    </xf>
    <xf borderId="0" fillId="2" fontId="1" numFmtId="0" xfId="0" applyAlignment="1" applyFill="1" applyFont="1">
      <alignment horizontal="left" shrinkToFit="0" vertical="center" wrapText="1"/>
    </xf>
    <xf borderId="0" fillId="0" fontId="2" numFmtId="0" xfId="0" applyAlignment="1" applyFont="1">
      <alignment horizontal="center" shrinkToFit="0" vertical="bottom" wrapText="0"/>
    </xf>
    <xf borderId="0" fillId="3" fontId="3" numFmtId="0" xfId="0" applyAlignment="1" applyFill="1" applyFont="1">
      <alignment readingOrder="0" shrinkToFit="0" vertical="center" wrapText="1"/>
    </xf>
    <xf borderId="0" fillId="4" fontId="4" numFmtId="0" xfId="0" applyAlignment="1" applyFill="1" applyFont="1">
      <alignment shrinkToFit="0" vertical="center" wrapText="1"/>
    </xf>
    <xf borderId="0" fillId="5" fontId="5" numFmtId="0" xfId="0" applyAlignment="1" applyFill="1" applyFont="1">
      <alignment horizontal="center" vertical="center"/>
    </xf>
    <xf borderId="0" fillId="5" fontId="5" numFmtId="0" xfId="0" applyAlignment="1" applyFont="1">
      <alignment horizontal="center" shrinkToFit="0" vertical="center" wrapText="1"/>
    </xf>
    <xf borderId="0" fillId="5" fontId="5" numFmtId="20" xfId="0" applyAlignment="1" applyFont="1" applyNumberFormat="1">
      <alignment horizontal="center" vertical="center"/>
    </xf>
    <xf borderId="0" fillId="0" fontId="6" numFmtId="0" xfId="0" applyFont="1"/>
    <xf borderId="0" fillId="0" fontId="7" numFmtId="0" xfId="0" applyAlignment="1" applyFont="1">
      <alignment shrinkToFit="0" wrapText="1"/>
    </xf>
    <xf borderId="0" fillId="0" fontId="7" numFmtId="20" xfId="0" applyFont="1" applyNumberFormat="1"/>
    <xf borderId="0" fillId="0" fontId="7" numFmtId="164" xfId="0" applyAlignment="1" applyFont="1" applyNumberFormat="1">
      <alignment shrinkToFit="0" wrapText="1"/>
    </xf>
    <xf borderId="0" fillId="5" fontId="5" numFmtId="20" xfId="0" applyAlignment="1" applyFont="1" applyNumberFormat="1">
      <alignment horizontal="center" shrinkToFit="0" vertical="center" wrapText="1"/>
    </xf>
    <xf borderId="0" fillId="0" fontId="7" numFmtId="164" xfId="0" applyFont="1" applyNumberFormat="1"/>
    <xf borderId="0" fillId="0" fontId="7" numFmtId="0" xfId="0" applyAlignment="1" applyFont="1">
      <alignment shrinkToFit="0" vertical="center" wrapText="1"/>
    </xf>
    <xf borderId="0" fillId="0" fontId="2" numFmtId="0" xfId="0" applyAlignment="1" applyFont="1">
      <alignment shrinkToFit="0" vertical="center" wrapText="1"/>
    </xf>
    <xf borderId="0" fillId="0" fontId="6" numFmtId="0" xfId="0" applyAlignment="1" applyFont="1">
      <alignment shrinkToFit="0" vertical="center" wrapText="1"/>
    </xf>
    <xf borderId="0" fillId="0" fontId="6" numFmtId="20" xfId="0" applyFont="1" applyNumberFormat="1"/>
    <xf borderId="0" fillId="0" fontId="8" numFmtId="0" xfId="0" applyAlignment="1" applyFont="1">
      <alignment readingOrder="0"/>
    </xf>
    <xf borderId="0" fillId="6" fontId="5" numFmtId="0" xfId="0" applyAlignment="1" applyFill="1" applyFont="1">
      <alignment horizontal="center" shrinkToFit="0" vertical="center" wrapText="1"/>
    </xf>
    <xf borderId="0" fillId="6" fontId="5" numFmtId="20" xfId="0" applyAlignment="1" applyFont="1" applyNumberFormat="1">
      <alignment horizontal="center" shrinkToFit="0" vertical="center" wrapText="1"/>
    </xf>
    <xf borderId="0" fillId="0" fontId="7" numFmtId="164" xfId="0" applyAlignment="1" applyFont="1" applyNumberFormat="1">
      <alignment shrinkToFit="0" vertical="center" wrapText="1"/>
    </xf>
    <xf borderId="0" fillId="3" fontId="8" numFmtId="0" xfId="0" applyAlignment="1" applyFont="1">
      <alignment readingOrder="0"/>
    </xf>
    <xf borderId="0" fillId="6" fontId="5" numFmtId="0" xfId="0" applyAlignment="1" applyFont="1">
      <alignment horizontal="center" readingOrder="0" shrinkToFit="0" vertical="center" wrapText="1"/>
    </xf>
    <xf borderId="0" fillId="0" fontId="7" numFmtId="164" xfId="0" applyAlignment="1" applyFont="1" applyNumberFormat="1">
      <alignment readingOrder="0" shrinkToFit="0" vertical="center" wrapText="1"/>
    </xf>
    <xf borderId="0" fillId="6" fontId="9" numFmtId="0" xfId="0" applyAlignment="1" applyFont="1">
      <alignment shrinkToFit="0" vertical="top" wrapText="1"/>
    </xf>
    <xf borderId="0" fillId="6" fontId="5" numFmtId="0" xfId="0" applyAlignment="1" applyFont="1">
      <alignment shrinkToFit="0" vertical="center" wrapText="1"/>
    </xf>
    <xf borderId="0" fillId="7" fontId="5" numFmtId="0" xfId="0" applyAlignment="1" applyFill="1" applyFont="1">
      <alignment shrinkToFit="0" vertical="top" wrapText="1"/>
    </xf>
    <xf borderId="0" fillId="8" fontId="2" numFmtId="0" xfId="0" applyAlignment="1" applyFill="1" applyFont="1">
      <alignment shrinkToFit="0" vertical="top" wrapText="1"/>
    </xf>
    <xf borderId="0" fillId="9" fontId="5" numFmtId="0" xfId="0" applyAlignment="1" applyFill="1" applyFont="1">
      <alignment shrinkToFit="0" vertical="top" wrapText="1"/>
    </xf>
    <xf borderId="0" fillId="9" fontId="5" numFmtId="0" xfId="0" applyAlignment="1" applyFont="1">
      <alignment shrinkToFit="0" vertical="center" wrapText="1"/>
    </xf>
    <xf borderId="0" fillId="10" fontId="9" numFmtId="0" xfId="0" applyAlignment="1" applyFill="1" applyFont="1">
      <alignment horizontal="center" shrinkToFit="0" vertical="top" wrapText="1"/>
    </xf>
    <xf borderId="0" fillId="0" fontId="2" numFmtId="0" xfId="0" applyAlignment="1" applyFont="1">
      <alignment shrinkToFit="0" vertical="top" wrapText="1"/>
    </xf>
    <xf borderId="0" fillId="0" fontId="2" numFmtId="20" xfId="0" applyAlignment="1" applyFont="1" applyNumberFormat="1">
      <alignment shrinkToFit="0" vertical="top" wrapText="1"/>
    </xf>
    <xf borderId="0" fillId="0" fontId="2" numFmtId="164" xfId="0" applyAlignment="1" applyFont="1" applyNumberFormat="1">
      <alignment shrinkToFit="0" vertical="top" wrapText="1"/>
    </xf>
    <xf borderId="0" fillId="9" fontId="5" numFmtId="0" xfId="0" applyAlignment="1" applyFont="1">
      <alignment readingOrder="0" shrinkToFit="0" vertical="top" wrapText="1"/>
    </xf>
    <xf borderId="0" fillId="11" fontId="9" numFmtId="0" xfId="0" applyAlignment="1" applyFill="1" applyFont="1">
      <alignment horizontal="center" shrinkToFit="0" vertical="top" wrapText="1"/>
    </xf>
    <xf borderId="0" fillId="12" fontId="2" numFmtId="0" xfId="0" applyAlignment="1" applyFill="1" applyFont="1">
      <alignment shrinkToFit="0" vertical="top" wrapText="1"/>
    </xf>
    <xf borderId="0" fillId="12" fontId="2" numFmtId="20" xfId="0" applyAlignment="1" applyFont="1" applyNumberFormat="1">
      <alignment shrinkToFit="0" vertical="top" wrapText="1"/>
    </xf>
    <xf borderId="0" fillId="12" fontId="2" numFmtId="164" xfId="0" applyAlignment="1" applyFont="1" applyNumberFormat="1">
      <alignment shrinkToFit="0" vertical="top" wrapText="1"/>
    </xf>
    <xf borderId="0" fillId="6" fontId="5" numFmtId="0" xfId="0" applyAlignment="1" applyFont="1">
      <alignment shrinkToFit="0" vertical="top" wrapText="1"/>
    </xf>
    <xf borderId="0" fillId="6" fontId="5" numFmtId="164" xfId="0" applyAlignment="1" applyFont="1" applyNumberFormat="1">
      <alignment shrinkToFit="0" vertical="top" wrapText="1"/>
    </xf>
    <xf borderId="0" fillId="6" fontId="5" numFmtId="20" xfId="0" applyAlignment="1" applyFont="1" applyNumberFormat="1">
      <alignment shrinkToFit="0" vertical="top" wrapText="1"/>
    </xf>
    <xf borderId="0" fillId="9" fontId="9" numFmtId="0" xfId="0" applyAlignment="1" applyFont="1">
      <alignment shrinkToFit="0" vertical="top" wrapText="1"/>
    </xf>
    <xf borderId="0" fillId="9" fontId="5" numFmtId="20" xfId="0" applyAlignment="1" applyFont="1" applyNumberFormat="1">
      <alignment shrinkToFit="0" vertical="top" wrapText="1"/>
    </xf>
    <xf borderId="0" fillId="9" fontId="5" numFmtId="164" xfId="0" applyAlignment="1" applyFont="1" applyNumberFormat="1">
      <alignment shrinkToFit="0" vertical="top" wrapText="1"/>
    </xf>
    <xf borderId="0" fillId="0" fontId="2" numFmtId="20" xfId="0" applyAlignment="1" applyFont="1" applyNumberFormat="1">
      <alignment readingOrder="0" shrinkToFit="0" vertical="top" wrapText="1"/>
    </xf>
    <xf borderId="0" fillId="10" fontId="9" numFmtId="20" xfId="0" applyAlignment="1" applyFont="1" applyNumberFormat="1">
      <alignment horizontal="center" shrinkToFit="0" vertical="top" wrapText="1"/>
    </xf>
    <xf borderId="0" fillId="10" fontId="9" numFmtId="164" xfId="0" applyAlignment="1" applyFont="1" applyNumberFormat="1">
      <alignment horizontal="center" shrinkToFit="0" vertical="top" wrapText="1"/>
    </xf>
    <xf borderId="0" fillId="6" fontId="5" numFmtId="0" xfId="0" applyAlignment="1" applyFont="1">
      <alignment shrinkToFit="0" vertical="bottom" wrapText="1"/>
    </xf>
    <xf borderId="0" fillId="11" fontId="9" numFmtId="0" xfId="0" applyAlignment="1" applyFont="1">
      <alignment horizontal="center" shrinkToFit="0" vertical="center" wrapText="1"/>
    </xf>
    <xf borderId="0" fillId="0" fontId="2" numFmtId="164" xfId="0" applyAlignment="1" applyFont="1" applyNumberFormat="1">
      <alignment shrinkToFit="0" vertical="center" wrapText="1"/>
    </xf>
    <xf borderId="0" fillId="0" fontId="2" numFmtId="20" xfId="0" applyAlignment="1" applyFont="1" applyNumberFormat="1">
      <alignment shrinkToFit="0" vertical="center" wrapText="1"/>
    </xf>
  </cellXfs>
  <cellStyles count="1">
    <cellStyle xfId="0" name="Normal" builtinId="0"/>
  </cellStyles>
  <dxfs count="0"/>
</styleSheet>
</file>

<file path=xl/_rels/workbook.xml.rels><?xml version="1.0" encoding="UTF-8" standalone="yes"?><Relationships xmlns="http://schemas.openxmlformats.org/package/2006/relationships"><Relationship Id="rId1" Type="http://schemas.openxmlformats.org/officeDocument/2006/relationships/theme" Target="theme/theme1.xml"/><Relationship Id="rId2" Type="http://schemas.openxmlformats.org/officeDocument/2006/relationships/styles" Target="styles.xml"/><Relationship Id="rId3" Type="http://schemas.openxmlformats.org/officeDocument/2006/relationships/sharedStrings" Target="sharedStrings.xml"/><Relationship Id="rId4" Type="http://schemas.openxmlformats.org/officeDocument/2006/relationships/worksheet" Target="worksheets/sheet1.xml"/><Relationship Id="rId5" Type="http://customschemas.google.com/relationships/workbookmetadata" Target="metadata"/>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theme/theme1.xml><?xml version="1.0" encoding="utf-8"?>
<a:theme xmlns:a="http://schemas.openxmlformats.org/drawingml/2006/main" xmlns:r="http://schemas.openxmlformats.org/officeDocument/2006/relationships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285F4"/>
      </a:accent1>
      <a:accent2>
        <a:srgbClr val="EA4335"/>
      </a:accent2>
      <a:accent3>
        <a:srgbClr val="FBBC04"/>
      </a:accent3>
      <a:accent4>
        <a:srgbClr val="34A853"/>
      </a:accent4>
      <a:accent5>
        <a:srgbClr val="FF6D01"/>
      </a:accent5>
      <a:accent6>
        <a:srgbClr val="46BDC6"/>
      </a:accent6>
      <a:hlink>
        <a:srgbClr val="1155CC"/>
      </a:hlink>
      <a:folHlink>
        <a:srgbClr val="1155CC"/>
      </a:folHlink>
    </a:clrScheme>
    <a:fontScheme name="Sheets">
      <a:majorFont>
        <a:latin typeface="Arial"/>
        <a:ea typeface="Arial"/>
        <a:cs typeface="Arial"/>
      </a:majorFont>
      <a:minorFont>
        <a:latin typeface="Arial"/>
        <a:ea typeface="Arial"/>
        <a:cs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</a:theme>
</file>

<file path=xl/worksheets/_rels/sheet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14.0"/>
    <col customWidth="1" min="2" max="2" width="12.63"/>
    <col customWidth="1" min="3" max="3" width="8.5"/>
    <col customWidth="1" min="4" max="5" width="20.0"/>
    <col customWidth="1" min="6" max="6" width="14.5"/>
    <col customWidth="1" min="8" max="8" width="18.0"/>
    <col customWidth="1" min="9" max="9" width="22.63"/>
    <col customWidth="1" min="10" max="10" width="18.0"/>
    <col customWidth="1" min="15" max="15" width="10.25"/>
  </cols>
  <sheetData>
    <row r="1" ht="24.0" customHeight="1">
      <c r="A1" s="1" t="s">
        <v>0</v>
      </c>
      <c r="J1" s="2"/>
      <c r="K1" s="2"/>
    </row>
    <row r="2" ht="31.5" customHeight="1">
      <c r="A2" s="3" t="s">
        <v>1</v>
      </c>
    </row>
    <row r="3" ht="24.0" customHeight="1">
      <c r="A3" s="1" t="s">
        <v>2</v>
      </c>
    </row>
    <row r="4" ht="21.75" customHeight="1">
      <c r="A4" s="4" t="s">
        <v>3</v>
      </c>
    </row>
    <row r="5">
      <c r="A5" s="5" t="s">
        <v>4</v>
      </c>
      <c r="B5" s="5" t="s">
        <v>5</v>
      </c>
      <c r="C5" s="5" t="s">
        <v>6</v>
      </c>
      <c r="D5" s="6" t="s">
        <v>7</v>
      </c>
      <c r="E5" s="6" t="s">
        <v>8</v>
      </c>
      <c r="F5" s="7" t="s">
        <v>9</v>
      </c>
      <c r="G5" s="7" t="s">
        <v>10</v>
      </c>
      <c r="H5" s="6" t="s">
        <v>11</v>
      </c>
    </row>
    <row r="6">
      <c r="A6" s="8" t="s">
        <v>12</v>
      </c>
      <c r="B6" s="8" t="s">
        <v>13</v>
      </c>
      <c r="C6" s="8" t="s">
        <v>14</v>
      </c>
      <c r="D6" s="9" t="s">
        <v>15</v>
      </c>
      <c r="E6" s="9">
        <v>100.0</v>
      </c>
      <c r="F6" s="10">
        <v>0.08333333333333333</v>
      </c>
      <c r="G6" s="10">
        <v>0.16666666666666666</v>
      </c>
      <c r="H6" s="11">
        <f>(G6-F6)*24</f>
        <v>2</v>
      </c>
    </row>
    <row r="7">
      <c r="D7" s="9"/>
      <c r="E7" s="9"/>
      <c r="F7" s="10"/>
      <c r="G7" s="10"/>
      <c r="H7" s="9"/>
    </row>
    <row r="8" ht="21.75" customHeight="1">
      <c r="A8" s="4" t="s">
        <v>16</v>
      </c>
    </row>
    <row r="9" ht="24.0" customHeight="1">
      <c r="A9" s="6" t="s">
        <v>4</v>
      </c>
      <c r="B9" s="6" t="s">
        <v>7</v>
      </c>
      <c r="C9" s="6" t="s">
        <v>8</v>
      </c>
      <c r="D9" s="6" t="s">
        <v>17</v>
      </c>
      <c r="E9" s="6" t="s">
        <v>11</v>
      </c>
      <c r="F9" s="12" t="s">
        <v>18</v>
      </c>
      <c r="G9" s="12" t="s">
        <v>19</v>
      </c>
      <c r="H9" s="6" t="s">
        <v>20</v>
      </c>
      <c r="I9" s="6" t="s">
        <v>21</v>
      </c>
    </row>
    <row r="10">
      <c r="A10" s="8" t="s">
        <v>12</v>
      </c>
      <c r="B10" s="8" t="s">
        <v>15</v>
      </c>
      <c r="C10" s="8">
        <v>100.0</v>
      </c>
      <c r="D10" s="9" t="s">
        <v>22</v>
      </c>
      <c r="E10" s="11">
        <f>H6</f>
        <v>2</v>
      </c>
      <c r="F10" s="13">
        <f t="shared" ref="F10:G10" si="1">E10</f>
        <v>2</v>
      </c>
      <c r="G10" s="13">
        <f t="shared" si="1"/>
        <v>2</v>
      </c>
      <c r="H10" s="14" t="str">
        <f>"2:00 - 4:00"</f>
        <v>2:00 - 4:00</v>
      </c>
      <c r="I10" s="15" t="s">
        <v>23</v>
      </c>
    </row>
    <row r="11">
      <c r="D11" s="9"/>
      <c r="E11" s="9"/>
      <c r="F11" s="10"/>
      <c r="G11" s="10"/>
      <c r="H11" s="9"/>
    </row>
    <row r="12">
      <c r="D12" s="9"/>
      <c r="E12" s="9"/>
      <c r="F12" s="10"/>
      <c r="G12" s="10"/>
      <c r="H12" s="9"/>
    </row>
    <row r="13" ht="24.0" customHeight="1">
      <c r="A13" s="1" t="s">
        <v>24</v>
      </c>
    </row>
    <row r="14" ht="21.75" customHeight="1">
      <c r="A14" s="4" t="s">
        <v>3</v>
      </c>
    </row>
    <row r="15">
      <c r="A15" s="5" t="s">
        <v>4</v>
      </c>
      <c r="B15" s="5" t="s">
        <v>5</v>
      </c>
      <c r="C15" s="5" t="s">
        <v>6</v>
      </c>
      <c r="D15" s="6" t="s">
        <v>7</v>
      </c>
      <c r="E15" s="6" t="s">
        <v>8</v>
      </c>
      <c r="F15" s="7" t="s">
        <v>9</v>
      </c>
      <c r="G15" s="7" t="s">
        <v>10</v>
      </c>
      <c r="H15" s="6" t="s">
        <v>11</v>
      </c>
    </row>
    <row r="16">
      <c r="A16" s="8" t="s">
        <v>12</v>
      </c>
      <c r="B16" s="8" t="s">
        <v>13</v>
      </c>
      <c r="C16" s="8" t="s">
        <v>14</v>
      </c>
      <c r="D16" s="9" t="s">
        <v>15</v>
      </c>
      <c r="E16" s="9">
        <v>100.0</v>
      </c>
      <c r="F16" s="10">
        <v>0.08333333333333333</v>
      </c>
      <c r="G16" s="10">
        <v>0.16666666666666666</v>
      </c>
      <c r="H16" s="11">
        <f t="shared" ref="H16:H17" si="2">(G16-F16)*24</f>
        <v>2</v>
      </c>
    </row>
    <row r="17">
      <c r="A17" s="8" t="s">
        <v>12</v>
      </c>
      <c r="B17" s="8" t="s">
        <v>13</v>
      </c>
      <c r="C17" s="8" t="s">
        <v>14</v>
      </c>
      <c r="D17" s="9" t="s">
        <v>25</v>
      </c>
      <c r="E17" s="9">
        <v>50.0</v>
      </c>
      <c r="F17" s="10">
        <v>0.08333333333333333</v>
      </c>
      <c r="G17" s="10">
        <v>0.16666666666666666</v>
      </c>
      <c r="H17" s="11">
        <f t="shared" si="2"/>
        <v>2</v>
      </c>
    </row>
    <row r="18">
      <c r="D18" s="9"/>
      <c r="E18" s="9"/>
      <c r="F18" s="10"/>
      <c r="G18" s="10"/>
      <c r="H18" s="9"/>
    </row>
    <row r="19" ht="21.75" customHeight="1">
      <c r="A19" s="4" t="s">
        <v>16</v>
      </c>
    </row>
    <row r="20" ht="24.0" customHeight="1">
      <c r="A20" s="6" t="s">
        <v>4</v>
      </c>
      <c r="B20" s="6" t="s">
        <v>7</v>
      </c>
      <c r="C20" s="6" t="s">
        <v>8</v>
      </c>
      <c r="D20" s="6" t="s">
        <v>17</v>
      </c>
      <c r="E20" s="6" t="s">
        <v>11</v>
      </c>
      <c r="F20" s="12" t="s">
        <v>18</v>
      </c>
      <c r="G20" s="12" t="s">
        <v>19</v>
      </c>
      <c r="H20" s="6" t="s">
        <v>20</v>
      </c>
      <c r="I20" s="6" t="s">
        <v>21</v>
      </c>
    </row>
    <row r="21" ht="15.75" customHeight="1">
      <c r="A21" s="8" t="s">
        <v>12</v>
      </c>
      <c r="B21" s="8" t="s">
        <v>15</v>
      </c>
      <c r="C21" s="8">
        <v>100.0</v>
      </c>
      <c r="D21" s="9" t="s">
        <v>22</v>
      </c>
      <c r="E21" s="11">
        <f t="shared" ref="E21:E22" si="3">H16</f>
        <v>2</v>
      </c>
      <c r="F21" s="13">
        <f>$E$21*C21/SUM($C$21:$C$22)</f>
        <v>1.333333333</v>
      </c>
      <c r="G21" s="13">
        <f t="shared" ref="G21:G22" si="4">F21</f>
        <v>1.333333333</v>
      </c>
      <c r="H21" s="14" t="str">
        <f>"2:00 - 3:20"</f>
        <v>2:00 - 3:20</v>
      </c>
      <c r="I21" s="16" t="s">
        <v>26</v>
      </c>
    </row>
    <row r="22" ht="15.75" customHeight="1">
      <c r="A22" s="8" t="s">
        <v>12</v>
      </c>
      <c r="B22" s="8" t="s">
        <v>25</v>
      </c>
      <c r="C22" s="8">
        <v>50.0</v>
      </c>
      <c r="D22" s="9" t="s">
        <v>22</v>
      </c>
      <c r="E22" s="11">
        <f t="shared" si="3"/>
        <v>2</v>
      </c>
      <c r="F22" s="13">
        <f>$E$22*C22/SUM($C$21:$C$22)</f>
        <v>0.6666666667</v>
      </c>
      <c r="G22" s="13">
        <f t="shared" si="4"/>
        <v>0.6666666667</v>
      </c>
      <c r="H22" s="14" t="str">
        <f>"3:20 - 4:00"</f>
        <v>3:20 - 4:00</v>
      </c>
      <c r="I22" s="16" t="s">
        <v>26</v>
      </c>
    </row>
    <row r="23" ht="15.75" customHeight="1">
      <c r="D23" s="9"/>
      <c r="E23" s="9"/>
      <c r="F23" s="10"/>
      <c r="G23" s="10"/>
      <c r="H23" s="9"/>
    </row>
    <row r="24" ht="15.75" customHeight="1">
      <c r="D24" s="9"/>
      <c r="E24" s="9"/>
      <c r="F24" s="10"/>
      <c r="G24" s="10"/>
      <c r="H24" s="9"/>
    </row>
    <row r="25" ht="24.0" customHeight="1">
      <c r="A25" s="1" t="s">
        <v>27</v>
      </c>
    </row>
    <row r="26" ht="21.75" customHeight="1">
      <c r="A26" s="4" t="s">
        <v>3</v>
      </c>
    </row>
    <row r="27" ht="15.75" customHeight="1">
      <c r="A27" s="5" t="s">
        <v>4</v>
      </c>
      <c r="B27" s="5" t="s">
        <v>5</v>
      </c>
      <c r="C27" s="5" t="s">
        <v>6</v>
      </c>
      <c r="D27" s="6" t="s">
        <v>7</v>
      </c>
      <c r="E27" s="6" t="s">
        <v>8</v>
      </c>
      <c r="F27" s="7" t="s">
        <v>9</v>
      </c>
      <c r="G27" s="7" t="s">
        <v>10</v>
      </c>
      <c r="H27" s="6" t="s">
        <v>11</v>
      </c>
    </row>
    <row r="28" ht="15.75" customHeight="1">
      <c r="A28" s="8" t="s">
        <v>12</v>
      </c>
      <c r="B28" s="8" t="s">
        <v>13</v>
      </c>
      <c r="C28" s="8" t="s">
        <v>14</v>
      </c>
      <c r="D28" s="9" t="s">
        <v>15</v>
      </c>
      <c r="E28" s="9">
        <v>100.0</v>
      </c>
      <c r="F28" s="10">
        <v>0.08333333333333333</v>
      </c>
      <c r="G28" s="10">
        <v>0.16666666666666666</v>
      </c>
      <c r="H28" s="11">
        <f t="shared" ref="H28:H29" si="5">(G28-F28)*24</f>
        <v>2</v>
      </c>
    </row>
    <row r="29" ht="15.75" customHeight="1">
      <c r="A29" s="8" t="s">
        <v>12</v>
      </c>
      <c r="B29" s="8" t="s">
        <v>13</v>
      </c>
      <c r="C29" s="8" t="s">
        <v>14</v>
      </c>
      <c r="D29" s="9" t="s">
        <v>25</v>
      </c>
      <c r="E29" s="9">
        <v>50.0</v>
      </c>
      <c r="F29" s="10">
        <v>0.125</v>
      </c>
      <c r="G29" s="10">
        <v>0.16666666666666666</v>
      </c>
      <c r="H29" s="11">
        <f t="shared" si="5"/>
        <v>1</v>
      </c>
    </row>
    <row r="30" ht="15.75" customHeight="1">
      <c r="D30" s="9"/>
      <c r="E30" s="9"/>
      <c r="F30" s="10"/>
      <c r="G30" s="10"/>
      <c r="H30" s="9"/>
    </row>
    <row r="31" ht="21.75" customHeight="1">
      <c r="A31" s="4" t="s">
        <v>16</v>
      </c>
    </row>
    <row r="32" ht="24.0" customHeight="1">
      <c r="A32" s="6" t="s">
        <v>4</v>
      </c>
      <c r="B32" s="6" t="s">
        <v>7</v>
      </c>
      <c r="C32" s="6" t="s">
        <v>8</v>
      </c>
      <c r="D32" s="6" t="s">
        <v>17</v>
      </c>
      <c r="E32" s="6" t="s">
        <v>11</v>
      </c>
      <c r="F32" s="12" t="s">
        <v>18</v>
      </c>
      <c r="G32" s="12" t="s">
        <v>19</v>
      </c>
      <c r="H32" s="6" t="s">
        <v>20</v>
      </c>
      <c r="I32" s="6" t="s">
        <v>21</v>
      </c>
    </row>
    <row r="33" ht="15.75" customHeight="1">
      <c r="A33" s="8" t="s">
        <v>12</v>
      </c>
      <c r="B33" s="8" t="s">
        <v>15</v>
      </c>
      <c r="C33" s="8">
        <v>100.0</v>
      </c>
      <c r="D33" s="9" t="s">
        <v>22</v>
      </c>
      <c r="E33" s="11">
        <f t="shared" ref="E33:E34" si="6">H28</f>
        <v>2</v>
      </c>
      <c r="F33" s="13">
        <f>(F29-F28)*24+((G29-F29)*24)*C33/SUM($C$33:$C$34)</f>
        <v>1.666666667</v>
      </c>
      <c r="G33" s="13">
        <f t="shared" ref="G33:G34" si="7">F33</f>
        <v>1.666666667</v>
      </c>
      <c r="H33" s="14" t="str">
        <f>"2:00 - 3:40"</f>
        <v>2:00 - 3:40</v>
      </c>
      <c r="I33" s="16" t="s">
        <v>26</v>
      </c>
    </row>
    <row r="34" ht="15.75" customHeight="1">
      <c r="A34" s="8" t="s">
        <v>12</v>
      </c>
      <c r="B34" s="8" t="s">
        <v>25</v>
      </c>
      <c r="C34" s="8">
        <v>50.0</v>
      </c>
      <c r="D34" s="9" t="s">
        <v>28</v>
      </c>
      <c r="E34" s="11">
        <f t="shared" si="6"/>
        <v>1</v>
      </c>
      <c r="F34" s="13">
        <f>((G29-F29)*24)*C34/SUM($C$33:$C$34)</f>
        <v>0.3333333333</v>
      </c>
      <c r="G34" s="13">
        <f t="shared" si="7"/>
        <v>0.3333333333</v>
      </c>
      <c r="H34" s="14" t="str">
        <f>"3:40 - 4:00"</f>
        <v>3:40 - 4:00</v>
      </c>
      <c r="I34" s="16" t="s">
        <v>26</v>
      </c>
    </row>
    <row r="35" ht="15.75" customHeight="1">
      <c r="D35" s="9"/>
      <c r="E35" s="9"/>
      <c r="F35" s="10"/>
      <c r="G35" s="10"/>
      <c r="H35" s="9"/>
    </row>
    <row r="36" ht="15.75" customHeight="1">
      <c r="D36" s="9"/>
      <c r="E36" s="9"/>
      <c r="F36" s="10"/>
      <c r="G36" s="10"/>
      <c r="H36" s="9"/>
    </row>
    <row r="37" ht="24.0" customHeight="1">
      <c r="A37" s="1" t="s">
        <v>29</v>
      </c>
    </row>
    <row r="38" ht="21.75" customHeight="1">
      <c r="A38" s="4" t="s">
        <v>3</v>
      </c>
    </row>
    <row r="39" ht="15.75" customHeight="1">
      <c r="A39" s="5" t="s">
        <v>4</v>
      </c>
      <c r="B39" s="5" t="s">
        <v>5</v>
      </c>
      <c r="C39" s="5" t="s">
        <v>6</v>
      </c>
      <c r="D39" s="6" t="s">
        <v>7</v>
      </c>
      <c r="E39" s="6" t="s">
        <v>8</v>
      </c>
      <c r="F39" s="7" t="s">
        <v>9</v>
      </c>
      <c r="G39" s="7" t="s">
        <v>10</v>
      </c>
      <c r="H39" s="6" t="s">
        <v>11</v>
      </c>
    </row>
    <row r="40" ht="15.75" customHeight="1">
      <c r="A40" s="8" t="s">
        <v>12</v>
      </c>
      <c r="B40" s="8" t="s">
        <v>13</v>
      </c>
      <c r="C40" s="8" t="s">
        <v>14</v>
      </c>
      <c r="D40" s="9" t="s">
        <v>25</v>
      </c>
      <c r="E40" s="9">
        <v>50.0</v>
      </c>
      <c r="F40" s="10">
        <v>0.08333333333333333</v>
      </c>
      <c r="G40" s="10">
        <v>0.20833333333333334</v>
      </c>
      <c r="H40" s="11">
        <f t="shared" ref="H40:H41" si="8">(G40-F40)*24</f>
        <v>3</v>
      </c>
    </row>
    <row r="41" ht="15.75" customHeight="1">
      <c r="A41" s="8" t="s">
        <v>30</v>
      </c>
      <c r="B41" s="8" t="s">
        <v>13</v>
      </c>
      <c r="C41" s="8" t="s">
        <v>14</v>
      </c>
      <c r="D41" s="9" t="s">
        <v>15</v>
      </c>
      <c r="E41" s="9">
        <v>100.0</v>
      </c>
      <c r="F41" s="10">
        <v>0.041666666666666664</v>
      </c>
      <c r="G41" s="10">
        <v>0.125</v>
      </c>
      <c r="H41" s="11">
        <f t="shared" si="8"/>
        <v>2</v>
      </c>
    </row>
    <row r="42" ht="15.75" customHeight="1">
      <c r="D42" s="9"/>
      <c r="E42" s="9"/>
      <c r="F42" s="10"/>
      <c r="G42" s="10"/>
      <c r="H42" s="9"/>
    </row>
    <row r="43" ht="21.75" customHeight="1">
      <c r="A43" s="4" t="s">
        <v>16</v>
      </c>
    </row>
    <row r="44" ht="24.0" customHeight="1">
      <c r="A44" s="6" t="s">
        <v>4</v>
      </c>
      <c r="B44" s="6" t="s">
        <v>7</v>
      </c>
      <c r="C44" s="6" t="s">
        <v>8</v>
      </c>
      <c r="D44" s="6" t="s">
        <v>17</v>
      </c>
      <c r="E44" s="6" t="s">
        <v>11</v>
      </c>
      <c r="F44" s="12" t="s">
        <v>18</v>
      </c>
      <c r="G44" s="12" t="s">
        <v>19</v>
      </c>
      <c r="H44" s="6" t="s">
        <v>20</v>
      </c>
      <c r="I44" s="6" t="s">
        <v>21</v>
      </c>
    </row>
    <row r="45" ht="15.75" customHeight="1">
      <c r="A45" s="8" t="s">
        <v>12</v>
      </c>
      <c r="B45" s="8" t="s">
        <v>25</v>
      </c>
      <c r="C45" s="8">
        <v>50.0</v>
      </c>
      <c r="D45" s="9" t="s">
        <v>31</v>
      </c>
      <c r="E45" s="11">
        <f t="shared" ref="E45:E46" si="9">H40</f>
        <v>3</v>
      </c>
      <c r="F45" s="13">
        <f>(G40-G41)*24+((G41-F40)*24)*C45/SUM($C$45:$C$46)</f>
        <v>2.333333333</v>
      </c>
      <c r="G45" s="13">
        <f t="shared" ref="G45:G46" si="10">F45</f>
        <v>2.333333333</v>
      </c>
      <c r="H45" s="14" t="str">
        <f>"2:40 - 5:00"</f>
        <v>2:40 - 5:00</v>
      </c>
      <c r="I45" s="16" t="s">
        <v>26</v>
      </c>
    </row>
    <row r="46" ht="15.75" customHeight="1">
      <c r="A46" s="8" t="s">
        <v>30</v>
      </c>
      <c r="B46" s="8" t="s">
        <v>15</v>
      </c>
      <c r="C46" s="8">
        <v>100.0</v>
      </c>
      <c r="D46" s="9" t="s">
        <v>32</v>
      </c>
      <c r="E46" s="11">
        <f t="shared" si="9"/>
        <v>2</v>
      </c>
      <c r="F46" s="13">
        <f>(F40-F41)*24+((G41-F40)*24)*C46/SUM($C$45:$C$46)</f>
        <v>1.666666667</v>
      </c>
      <c r="G46" s="13">
        <f t="shared" si="10"/>
        <v>1.666666667</v>
      </c>
      <c r="H46" s="14" t="str">
        <f>"1:00 - 2:40"</f>
        <v>1:00 - 2:40</v>
      </c>
      <c r="I46" s="16" t="s">
        <v>26</v>
      </c>
    </row>
    <row r="47" ht="15.75" customHeight="1">
      <c r="D47" s="9"/>
      <c r="E47" s="9"/>
      <c r="F47" s="10"/>
      <c r="G47" s="10"/>
      <c r="H47" s="9"/>
    </row>
    <row r="48" ht="15.75" customHeight="1">
      <c r="D48" s="9"/>
      <c r="E48" s="9"/>
      <c r="F48" s="10"/>
      <c r="G48" s="10"/>
      <c r="H48" s="9"/>
    </row>
    <row r="49" ht="24.0" customHeight="1">
      <c r="A49" s="1" t="s">
        <v>33</v>
      </c>
    </row>
    <row r="50" ht="21.75" customHeight="1">
      <c r="A50" s="4" t="s">
        <v>3</v>
      </c>
    </row>
    <row r="51" ht="15.75" customHeight="1">
      <c r="A51" s="5" t="s">
        <v>4</v>
      </c>
      <c r="B51" s="5" t="s">
        <v>5</v>
      </c>
      <c r="C51" s="5" t="s">
        <v>6</v>
      </c>
      <c r="D51" s="6" t="s">
        <v>7</v>
      </c>
      <c r="E51" s="6" t="s">
        <v>8</v>
      </c>
      <c r="F51" s="7" t="s">
        <v>9</v>
      </c>
      <c r="G51" s="7" t="s">
        <v>10</v>
      </c>
      <c r="H51" s="6" t="s">
        <v>11</v>
      </c>
    </row>
    <row r="52" ht="15.75" customHeight="1">
      <c r="A52" s="8" t="s">
        <v>12</v>
      </c>
      <c r="B52" s="8" t="s">
        <v>13</v>
      </c>
      <c r="C52" s="8" t="s">
        <v>14</v>
      </c>
      <c r="D52" s="9" t="s">
        <v>15</v>
      </c>
      <c r="E52" s="9">
        <v>100.0</v>
      </c>
      <c r="F52" s="10">
        <v>0.08333333333333333</v>
      </c>
      <c r="G52" s="10">
        <v>0.16666666666666666</v>
      </c>
      <c r="H52" s="11">
        <f t="shared" ref="H52:H55" si="11">(G52-F52)*24</f>
        <v>2</v>
      </c>
      <c r="J52" s="8" t="s">
        <v>9</v>
      </c>
      <c r="K52" s="8" t="s">
        <v>34</v>
      </c>
      <c r="L52" s="8" t="s">
        <v>35</v>
      </c>
      <c r="M52" s="8" t="s">
        <v>36</v>
      </c>
      <c r="N52" s="8" t="s">
        <v>37</v>
      </c>
    </row>
    <row r="53" ht="15.75" customHeight="1">
      <c r="A53" s="8" t="s">
        <v>12</v>
      </c>
      <c r="B53" s="8" t="s">
        <v>13</v>
      </c>
      <c r="C53" s="8" t="s">
        <v>14</v>
      </c>
      <c r="D53" s="9" t="s">
        <v>25</v>
      </c>
      <c r="E53" s="9">
        <v>50.0</v>
      </c>
      <c r="F53" s="10">
        <v>0.10416666666666667</v>
      </c>
      <c r="G53" s="10">
        <v>0.14583333333333334</v>
      </c>
      <c r="H53" s="11">
        <f t="shared" si="11"/>
        <v>1</v>
      </c>
      <c r="J53" s="8">
        <v>1.0</v>
      </c>
      <c r="K53" s="8">
        <v>2.0</v>
      </c>
      <c r="L53" s="8">
        <v>0.0</v>
      </c>
      <c r="M53" s="8">
        <v>1.0</v>
      </c>
      <c r="N53" s="8">
        <v>40.0</v>
      </c>
      <c r="O53" s="8">
        <f>0*(100/40) + 1</f>
        <v>1</v>
      </c>
    </row>
    <row r="54" ht="15.75" customHeight="1">
      <c r="A54" s="8" t="s">
        <v>30</v>
      </c>
      <c r="B54" s="8" t="s">
        <v>13</v>
      </c>
      <c r="C54" s="8" t="s">
        <v>14</v>
      </c>
      <c r="D54" s="9" t="s">
        <v>15</v>
      </c>
      <c r="E54" s="9">
        <v>100.0</v>
      </c>
      <c r="F54" s="10">
        <v>0.09375</v>
      </c>
      <c r="G54" s="10">
        <v>0.15625</v>
      </c>
      <c r="H54" s="11">
        <f t="shared" si="11"/>
        <v>1.5</v>
      </c>
      <c r="J54" s="8">
        <v>2.0</v>
      </c>
      <c r="K54" s="17">
        <v>0.09375</v>
      </c>
      <c r="L54" s="8">
        <v>0.25</v>
      </c>
      <c r="M54" s="8">
        <v>0.0</v>
      </c>
      <c r="N54" s="8">
        <v>140.0</v>
      </c>
      <c r="O54" s="8">
        <f> 0.25 * (100/140) + 0</f>
        <v>0.1785714286</v>
      </c>
    </row>
    <row r="55" ht="15.75" customHeight="1">
      <c r="A55" s="8" t="s">
        <v>30</v>
      </c>
      <c r="B55" s="8" t="s">
        <v>13</v>
      </c>
      <c r="C55" s="8" t="s">
        <v>14</v>
      </c>
      <c r="D55" s="9" t="s">
        <v>38</v>
      </c>
      <c r="E55" s="9">
        <v>40.0</v>
      </c>
      <c r="F55" s="10">
        <v>0.041666666666666664</v>
      </c>
      <c r="G55" s="10">
        <v>0.25</v>
      </c>
      <c r="H55" s="11">
        <f t="shared" si="11"/>
        <v>5</v>
      </c>
      <c r="J55" s="17">
        <v>0.09375</v>
      </c>
      <c r="K55" s="17">
        <v>0.10416666666666667</v>
      </c>
      <c r="L55" s="8">
        <v>0.25</v>
      </c>
      <c r="M55" s="8">
        <v>0.0</v>
      </c>
      <c r="N55" s="8">
        <v>240.0</v>
      </c>
      <c r="O55" s="8">
        <f>0.25 * (100/240) + 0</f>
        <v>0.1041666667</v>
      </c>
    </row>
    <row r="56" ht="15.75" customHeight="1">
      <c r="D56" s="9"/>
      <c r="E56" s="9"/>
      <c r="F56" s="10"/>
      <c r="G56" s="10"/>
      <c r="H56" s="9"/>
      <c r="J56" s="8">
        <v>230.0</v>
      </c>
      <c r="K56" s="8">
        <v>330.0</v>
      </c>
      <c r="L56" s="8">
        <v>1.0</v>
      </c>
      <c r="M56" s="8">
        <v>0.0</v>
      </c>
      <c r="N56" s="8">
        <v>290.0</v>
      </c>
      <c r="O56" s="8">
        <f> 1 * (100/290) + 0</f>
        <v>0.3448275862</v>
      </c>
    </row>
    <row r="57" ht="21.75" customHeight="1">
      <c r="A57" s="4" t="s">
        <v>16</v>
      </c>
      <c r="J57" s="8">
        <v>330.0</v>
      </c>
      <c r="K57" s="8">
        <v>345.0</v>
      </c>
      <c r="L57" s="8">
        <v>0.25</v>
      </c>
      <c r="M57" s="8">
        <v>0.0</v>
      </c>
      <c r="N57" s="8">
        <v>240.0</v>
      </c>
      <c r="O57" s="8">
        <f>0.25 * (100/240) + 0</f>
        <v>0.1041666667</v>
      </c>
    </row>
    <row r="58" ht="24.0" customHeight="1">
      <c r="A58" s="6" t="s">
        <v>4</v>
      </c>
      <c r="B58" s="6" t="s">
        <v>7</v>
      </c>
      <c r="C58" s="6" t="s">
        <v>8</v>
      </c>
      <c r="D58" s="6" t="s">
        <v>17</v>
      </c>
      <c r="E58" s="6" t="s">
        <v>11</v>
      </c>
      <c r="F58" s="12" t="s">
        <v>18</v>
      </c>
      <c r="G58" s="12" t="s">
        <v>19</v>
      </c>
      <c r="H58" s="6" t="s">
        <v>20</v>
      </c>
      <c r="I58" s="6" t="s">
        <v>21</v>
      </c>
      <c r="J58" s="8">
        <v>345.0</v>
      </c>
      <c r="K58" s="8">
        <v>4.0</v>
      </c>
      <c r="L58" s="8">
        <v>0.25</v>
      </c>
      <c r="M58" s="8">
        <v>0.0</v>
      </c>
      <c r="N58" s="8">
        <v>140.0</v>
      </c>
      <c r="O58" s="8">
        <f> 0.25 * (100/140) + 0</f>
        <v>0.1785714286</v>
      </c>
    </row>
    <row r="59" ht="15.75" customHeight="1">
      <c r="A59" s="8" t="s">
        <v>12</v>
      </c>
      <c r="B59" s="8" t="s">
        <v>15</v>
      </c>
      <c r="C59" s="8">
        <v>100.0</v>
      </c>
      <c r="D59" s="9" t="s">
        <v>22</v>
      </c>
      <c r="E59" s="11">
        <f t="shared" ref="E59:E62" si="12">H52</f>
        <v>2</v>
      </c>
      <c r="F59" s="13">
        <f>(F54-F52)*24*C59/(C59+C62)+(F53-F54)*24*C59/(C59+C61+C62)+(G53-F53)*24*C59/SUM($C$59:$C$62)+(G54-G53)*24*C59/(C59+C61+C62)+(G52-G54)*24*C59/(C59+C62)</f>
        <v>0.9103037767</v>
      </c>
      <c r="G59" s="13">
        <f t="shared" ref="G59:G62" si="13">F59</f>
        <v>0.9103037767</v>
      </c>
      <c r="H59" s="14" t="str">
        <f>"4:22 - 5:16"</f>
        <v>4:22 - 5:16</v>
      </c>
      <c r="I59" s="15" t="s">
        <v>26</v>
      </c>
      <c r="J59" s="8">
        <v>4.0</v>
      </c>
      <c r="K59" s="8">
        <v>6.0</v>
      </c>
      <c r="L59" s="8">
        <v>0.0</v>
      </c>
      <c r="M59" s="8">
        <v>2.0</v>
      </c>
      <c r="N59" s="8">
        <v>40.0</v>
      </c>
      <c r="O59" s="8">
        <f>2</f>
        <v>2</v>
      </c>
    </row>
    <row r="60" ht="15.75" customHeight="1">
      <c r="A60" s="8" t="s">
        <v>12</v>
      </c>
      <c r="B60" s="8" t="s">
        <v>25</v>
      </c>
      <c r="C60" s="8">
        <v>50.0</v>
      </c>
      <c r="D60" s="9" t="s">
        <v>39</v>
      </c>
      <c r="E60" s="11">
        <f t="shared" si="12"/>
        <v>1</v>
      </c>
      <c r="F60" s="13">
        <f>(G53-F53)*24*C60/SUM($C$59:$C$62)</f>
        <v>0.1724137931</v>
      </c>
      <c r="G60" s="13">
        <f t="shared" si="13"/>
        <v>0.1724137931</v>
      </c>
      <c r="H60" s="14" t="str">
        <f>"5:50 - 6:00"</f>
        <v>5:50 - 6:00</v>
      </c>
      <c r="I60" s="15" t="s">
        <v>26</v>
      </c>
    </row>
    <row r="61" ht="15.75" customHeight="1">
      <c r="A61" s="8" t="s">
        <v>30</v>
      </c>
      <c r="B61" s="8" t="s">
        <v>15</v>
      </c>
      <c r="C61" s="8">
        <v>100.0</v>
      </c>
      <c r="D61" s="9" t="s">
        <v>40</v>
      </c>
      <c r="E61" s="11">
        <f t="shared" si="12"/>
        <v>1.5</v>
      </c>
      <c r="F61" s="13">
        <f>(F53-F54)*24*C61/(C59+C61+C62)+(G53-F53)*24*C61/SUM($C$59:$C$62)+(G54-G53)*24*C61/(C59+C61+C62)</f>
        <v>0.5531609195</v>
      </c>
      <c r="G61" s="13">
        <f t="shared" si="13"/>
        <v>0.5531609195</v>
      </c>
      <c r="H61" s="14" t="str">
        <f>"5:16 - 5:50"</f>
        <v>5:16 - 5:50</v>
      </c>
      <c r="I61" s="15" t="s">
        <v>26</v>
      </c>
    </row>
    <row r="62" ht="15.75" customHeight="1">
      <c r="A62" s="8" t="s">
        <v>30</v>
      </c>
      <c r="B62" s="8" t="s">
        <v>38</v>
      </c>
      <c r="C62" s="8">
        <v>40.0</v>
      </c>
      <c r="D62" s="9" t="s">
        <v>41</v>
      </c>
      <c r="E62" s="11">
        <f t="shared" si="12"/>
        <v>5</v>
      </c>
      <c r="F62" s="13">
        <f>(F52-F55)*24+(F54-F52)*24*C62/(C59+C62)+(F53-F54)*24*C62/(C59+C61+C62)+(G53-F53)*24*C62/SUM($C$59:$C$62)+(G54-G53)*24*C62/(C59+C61+C62)+(G52-G54)*24*C62/(C59+C62)+(G55-G52)*24</f>
        <v>3.364121511</v>
      </c>
      <c r="G62" s="13">
        <f t="shared" si="13"/>
        <v>3.364121511</v>
      </c>
      <c r="H62" s="14" t="str">
        <f>"1:00 - 4:22"</f>
        <v>1:00 - 4:22</v>
      </c>
      <c r="I62" s="15" t="s">
        <v>26</v>
      </c>
    </row>
    <row r="63" ht="15.75" customHeight="1">
      <c r="D63" s="9"/>
      <c r="E63" s="9"/>
      <c r="F63" s="10"/>
      <c r="G63" s="10"/>
      <c r="H63" s="9"/>
    </row>
    <row r="64" ht="15.75" customHeight="1">
      <c r="A64" s="18"/>
    </row>
    <row r="65" ht="24.0" customHeight="1">
      <c r="A65" s="1" t="s">
        <v>42</v>
      </c>
    </row>
    <row r="66" ht="21.75" customHeight="1">
      <c r="A66" s="4" t="s">
        <v>43</v>
      </c>
    </row>
    <row r="67" ht="15.75" customHeight="1">
      <c r="A67" s="5" t="s">
        <v>4</v>
      </c>
      <c r="B67" s="5" t="s">
        <v>5</v>
      </c>
      <c r="C67" s="5" t="s">
        <v>6</v>
      </c>
      <c r="D67" s="6" t="s">
        <v>7</v>
      </c>
      <c r="E67" s="6" t="s">
        <v>8</v>
      </c>
      <c r="F67" s="7" t="s">
        <v>9</v>
      </c>
      <c r="G67" s="7" t="s">
        <v>10</v>
      </c>
      <c r="H67" s="6" t="s">
        <v>11</v>
      </c>
    </row>
    <row r="68" ht="15.75" customHeight="1">
      <c r="A68" s="8" t="s">
        <v>12</v>
      </c>
      <c r="B68" s="8" t="s">
        <v>13</v>
      </c>
      <c r="C68" s="8" t="s">
        <v>14</v>
      </c>
      <c r="D68" s="9" t="s">
        <v>15</v>
      </c>
      <c r="E68" s="9">
        <v>100.0</v>
      </c>
      <c r="F68" s="10">
        <v>0.08333333333333333</v>
      </c>
      <c r="G68" s="10">
        <v>0.16666666666666666</v>
      </c>
      <c r="H68" s="11">
        <f t="shared" ref="H68:H69" si="14">(G68-F68)*24</f>
        <v>2</v>
      </c>
    </row>
    <row r="69" ht="15.75" customHeight="1">
      <c r="A69" s="8" t="s">
        <v>30</v>
      </c>
      <c r="B69" s="8" t="s">
        <v>13</v>
      </c>
      <c r="C69" s="8" t="s">
        <v>14</v>
      </c>
      <c r="D69" s="9" t="s">
        <v>25</v>
      </c>
      <c r="E69" s="9">
        <v>50.0</v>
      </c>
      <c r="F69" s="10">
        <v>0.125</v>
      </c>
      <c r="G69" s="10">
        <v>0.25</v>
      </c>
      <c r="H69" s="11">
        <f t="shared" si="14"/>
        <v>3</v>
      </c>
    </row>
    <row r="70" ht="15.75" customHeight="1">
      <c r="D70" s="9"/>
      <c r="E70" s="9"/>
      <c r="F70" s="10"/>
      <c r="G70" s="10"/>
      <c r="H70" s="9"/>
    </row>
    <row r="71" ht="21.75" customHeight="1">
      <c r="A71" s="4" t="s">
        <v>44</v>
      </c>
    </row>
    <row r="72" ht="15.75" customHeight="1">
      <c r="A72" s="5" t="s">
        <v>4</v>
      </c>
      <c r="B72" s="5" t="s">
        <v>5</v>
      </c>
      <c r="C72" s="5" t="s">
        <v>6</v>
      </c>
      <c r="D72" s="6" t="s">
        <v>7</v>
      </c>
      <c r="E72" s="6" t="s">
        <v>8</v>
      </c>
      <c r="F72" s="7" t="s">
        <v>9</v>
      </c>
      <c r="G72" s="7" t="s">
        <v>10</v>
      </c>
      <c r="H72" s="6" t="s">
        <v>11</v>
      </c>
    </row>
    <row r="73" ht="15.75" customHeight="1">
      <c r="A73" s="8" t="s">
        <v>12</v>
      </c>
      <c r="B73" s="8" t="s">
        <v>13</v>
      </c>
      <c r="C73" s="8" t="s">
        <v>14</v>
      </c>
      <c r="D73" s="9" t="s">
        <v>15</v>
      </c>
      <c r="E73" s="9">
        <v>100.0</v>
      </c>
      <c r="F73" s="10">
        <v>0.08333333333333333</v>
      </c>
      <c r="G73" s="10">
        <v>0.20833333333333334</v>
      </c>
      <c r="H73" s="11">
        <f t="shared" ref="H73:H74" si="15">(G73-F73)*24</f>
        <v>3</v>
      </c>
    </row>
    <row r="74" ht="15.75" customHeight="1">
      <c r="A74" s="8" t="s">
        <v>30</v>
      </c>
      <c r="B74" s="8" t="s">
        <v>13</v>
      </c>
      <c r="C74" s="8" t="s">
        <v>14</v>
      </c>
      <c r="D74" s="9" t="s">
        <v>25</v>
      </c>
      <c r="E74" s="9">
        <v>50.0</v>
      </c>
      <c r="F74" s="10">
        <v>0.125</v>
      </c>
      <c r="G74" s="10">
        <v>0.25</v>
      </c>
      <c r="H74" s="11">
        <f t="shared" si="15"/>
        <v>3</v>
      </c>
    </row>
    <row r="75" ht="15.75" customHeight="1">
      <c r="D75" s="9"/>
      <c r="E75" s="9"/>
      <c r="F75" s="10"/>
      <c r="G75" s="10"/>
      <c r="H75" s="9"/>
    </row>
    <row r="76" ht="21.75" customHeight="1">
      <c r="A76" s="4" t="s">
        <v>45</v>
      </c>
    </row>
    <row r="77" ht="24.0" customHeight="1">
      <c r="A77" s="19" t="s">
        <v>4</v>
      </c>
      <c r="B77" s="19" t="s">
        <v>7</v>
      </c>
      <c r="C77" s="19" t="s">
        <v>8</v>
      </c>
      <c r="D77" s="19" t="s">
        <v>46</v>
      </c>
      <c r="E77" s="19" t="s">
        <v>47</v>
      </c>
      <c r="F77" s="20" t="s">
        <v>48</v>
      </c>
      <c r="G77" s="20" t="s">
        <v>49</v>
      </c>
      <c r="H77" s="19" t="s">
        <v>50</v>
      </c>
      <c r="I77" s="19" t="s">
        <v>51</v>
      </c>
      <c r="J77" s="19" t="s">
        <v>52</v>
      </c>
      <c r="K77" s="19" t="s">
        <v>53</v>
      </c>
      <c r="L77" s="19" t="s">
        <v>54</v>
      </c>
    </row>
    <row r="78" ht="15.75" customHeight="1">
      <c r="A78" s="16" t="s">
        <v>12</v>
      </c>
      <c r="B78" s="16" t="s">
        <v>15</v>
      </c>
      <c r="C78" s="16">
        <v>100.0</v>
      </c>
      <c r="D78" s="14" t="s">
        <v>22</v>
      </c>
      <c r="E78" s="14" t="s">
        <v>31</v>
      </c>
      <c r="F78" s="21">
        <f>(F69-F68)*24+((G68-F69)*24)*C78/SUM($C$78:$C$79)</f>
        <v>1.666666667</v>
      </c>
      <c r="G78" s="21">
        <f>(F74-F73)*24+((G73-F74)*24)*C78/SUM($C$78:$C$79)</f>
        <v>2.333333333</v>
      </c>
      <c r="H78" s="21" t="str">
        <f t="shared" ref="H78:H79" si="16">"2:00"</f>
        <v>2:00</v>
      </c>
      <c r="I78" s="15" t="str">
        <f>"3:40"</f>
        <v>3:40</v>
      </c>
      <c r="J78" s="15" t="str">
        <f>"2:00"</f>
        <v>2:00</v>
      </c>
      <c r="K78" s="15" t="str">
        <f>"4:20"</f>
        <v>4:20</v>
      </c>
      <c r="L78" s="15" t="str">
        <f t="shared" ref="L78:L79" si="17">TEXT(F78,"0.0000")&amp;" → "&amp;TEXT(G78,"0.0000")&amp;" hrs (Delta "&amp;TEXT(G78-F78,"+0.0000;-0.0000;0.0000")&amp;")"</f>
        <v>1.6667 → 2.3333 hrs (Delta +0.6667)</v>
      </c>
    </row>
    <row r="79" ht="15.75" customHeight="1">
      <c r="A79" s="16" t="s">
        <v>30</v>
      </c>
      <c r="B79" s="16" t="s">
        <v>25</v>
      </c>
      <c r="C79" s="16">
        <v>50.0</v>
      </c>
      <c r="D79" s="14" t="s">
        <v>55</v>
      </c>
      <c r="E79" s="14" t="s">
        <v>55</v>
      </c>
      <c r="F79" s="21">
        <f>(G69-G68)*24+((G68-F69)*24)*C79/SUM($C$78:$C$79)</f>
        <v>2.333333333</v>
      </c>
      <c r="G79" s="21">
        <f>(G74-G73)*24+((G73-F74)*24)*C79/SUM($C$78:$C$79)</f>
        <v>1.666666667</v>
      </c>
      <c r="H79" s="21" t="str">
        <f t="shared" si="16"/>
        <v>2:00</v>
      </c>
      <c r="I79" s="15" t="str">
        <f>"6:00"</f>
        <v>6:00</v>
      </c>
      <c r="J79" s="15" t="str">
        <f>"4:20"</f>
        <v>4:20</v>
      </c>
      <c r="K79" s="15" t="str">
        <f>"6:00"</f>
        <v>6:00</v>
      </c>
      <c r="L79" s="15" t="str">
        <f t="shared" si="17"/>
        <v>2.3333 → 1.6667 hrs (Delta -0.6667)</v>
      </c>
    </row>
    <row r="80" ht="15.75" customHeight="1">
      <c r="D80" s="9"/>
      <c r="E80" s="9"/>
      <c r="F80" s="10"/>
      <c r="G80" s="10"/>
      <c r="H80" s="9"/>
    </row>
    <row r="81" ht="24.0" customHeight="1">
      <c r="A81" s="1" t="s">
        <v>56</v>
      </c>
    </row>
    <row r="82" ht="21.75" customHeight="1">
      <c r="A82" s="4" t="s">
        <v>43</v>
      </c>
    </row>
    <row r="83" ht="15.75" customHeight="1">
      <c r="A83" s="5" t="s">
        <v>4</v>
      </c>
      <c r="B83" s="5" t="s">
        <v>5</v>
      </c>
      <c r="C83" s="5" t="s">
        <v>6</v>
      </c>
      <c r="D83" s="6" t="s">
        <v>7</v>
      </c>
      <c r="E83" s="6" t="s">
        <v>8</v>
      </c>
      <c r="F83" s="7" t="s">
        <v>9</v>
      </c>
      <c r="G83" s="7" t="s">
        <v>10</v>
      </c>
      <c r="H83" s="6" t="s">
        <v>11</v>
      </c>
    </row>
    <row r="84" ht="15.75" customHeight="1">
      <c r="A84" s="8" t="s">
        <v>12</v>
      </c>
      <c r="B84" s="8" t="s">
        <v>13</v>
      </c>
      <c r="C84" s="8" t="s">
        <v>14</v>
      </c>
      <c r="D84" s="9" t="s">
        <v>15</v>
      </c>
      <c r="E84" s="9">
        <v>100.0</v>
      </c>
      <c r="F84" s="10">
        <v>0.08333333333333333</v>
      </c>
      <c r="G84" s="10">
        <v>0.16666666666666666</v>
      </c>
      <c r="H84" s="11">
        <f t="shared" ref="H84:H85" si="18">(G84-F84)*24</f>
        <v>2</v>
      </c>
    </row>
    <row r="85" ht="15.75" customHeight="1">
      <c r="A85" s="8" t="s">
        <v>30</v>
      </c>
      <c r="B85" s="8" t="s">
        <v>13</v>
      </c>
      <c r="C85" s="8" t="s">
        <v>14</v>
      </c>
      <c r="D85" s="9" t="s">
        <v>15</v>
      </c>
      <c r="E85" s="9">
        <v>100.0</v>
      </c>
      <c r="F85" s="10">
        <v>0.125</v>
      </c>
      <c r="G85" s="10">
        <v>0.20833333333333334</v>
      </c>
      <c r="H85" s="11">
        <f t="shared" si="18"/>
        <v>2</v>
      </c>
    </row>
    <row r="86" ht="15.75" customHeight="1">
      <c r="D86" s="9"/>
      <c r="E86" s="9"/>
      <c r="F86" s="10"/>
      <c r="G86" s="10"/>
      <c r="H86" s="9"/>
    </row>
    <row r="87" ht="21.75" customHeight="1">
      <c r="A87" s="4" t="s">
        <v>44</v>
      </c>
    </row>
    <row r="88" ht="15.75" customHeight="1">
      <c r="A88" s="5" t="s">
        <v>4</v>
      </c>
      <c r="B88" s="5" t="s">
        <v>5</v>
      </c>
      <c r="C88" s="5" t="s">
        <v>6</v>
      </c>
      <c r="D88" s="6" t="s">
        <v>7</v>
      </c>
      <c r="E88" s="6" t="s">
        <v>8</v>
      </c>
      <c r="F88" s="7" t="s">
        <v>9</v>
      </c>
      <c r="G88" s="7" t="s">
        <v>10</v>
      </c>
      <c r="H88" s="6" t="s">
        <v>11</v>
      </c>
    </row>
    <row r="89" ht="15.75" customHeight="1">
      <c r="A89" s="8" t="s">
        <v>12</v>
      </c>
      <c r="B89" s="8" t="s">
        <v>13</v>
      </c>
      <c r="C89" s="8" t="s">
        <v>14</v>
      </c>
      <c r="D89" s="9" t="s">
        <v>15</v>
      </c>
      <c r="E89" s="9">
        <v>100.0</v>
      </c>
      <c r="F89" s="10">
        <v>0.08333333333333333</v>
      </c>
      <c r="G89" s="10">
        <v>0.1875</v>
      </c>
      <c r="H89" s="11">
        <f t="shared" ref="H89:H90" si="19">(G89-F89)*24</f>
        <v>2.5</v>
      </c>
    </row>
    <row r="90" ht="15.75" customHeight="1">
      <c r="A90" s="8" t="s">
        <v>30</v>
      </c>
      <c r="B90" s="8" t="s">
        <v>13</v>
      </c>
      <c r="C90" s="8" t="s">
        <v>14</v>
      </c>
      <c r="D90" s="9" t="s">
        <v>15</v>
      </c>
      <c r="E90" s="9">
        <v>100.0</v>
      </c>
      <c r="F90" s="10">
        <v>0.125</v>
      </c>
      <c r="G90" s="10">
        <v>0.20833333333333334</v>
      </c>
      <c r="H90" s="11">
        <f t="shared" si="19"/>
        <v>2</v>
      </c>
    </row>
    <row r="91" ht="15.75" customHeight="1">
      <c r="D91" s="9"/>
      <c r="E91" s="9"/>
      <c r="F91" s="10"/>
      <c r="G91" s="10"/>
      <c r="H91" s="9"/>
    </row>
    <row r="92" ht="21.75" customHeight="1">
      <c r="A92" s="4" t="s">
        <v>45</v>
      </c>
    </row>
    <row r="93" ht="24.0" customHeight="1">
      <c r="A93" s="19" t="s">
        <v>4</v>
      </c>
      <c r="B93" s="19" t="s">
        <v>7</v>
      </c>
      <c r="C93" s="19" t="s">
        <v>8</v>
      </c>
      <c r="D93" s="19" t="s">
        <v>46</v>
      </c>
      <c r="E93" s="19" t="s">
        <v>47</v>
      </c>
      <c r="F93" s="20" t="s">
        <v>48</v>
      </c>
      <c r="G93" s="20" t="s">
        <v>49</v>
      </c>
      <c r="H93" s="19" t="s">
        <v>50</v>
      </c>
      <c r="I93" s="19" t="s">
        <v>51</v>
      </c>
      <c r="J93" s="19" t="s">
        <v>52</v>
      </c>
      <c r="K93" s="19" t="s">
        <v>53</v>
      </c>
      <c r="L93" s="19" t="s">
        <v>54</v>
      </c>
    </row>
    <row r="94" ht="15.75" customHeight="1">
      <c r="A94" s="16" t="s">
        <v>12</v>
      </c>
      <c r="B94" s="16" t="s">
        <v>15</v>
      </c>
      <c r="C94" s="16">
        <v>100.0</v>
      </c>
      <c r="D94" s="14" t="s">
        <v>22</v>
      </c>
      <c r="E94" s="14" t="s">
        <v>57</v>
      </c>
      <c r="F94" s="21">
        <f>(F85-F84)*24+((G84-F85)*24)*C94/SUM($C$94:$C$95)</f>
        <v>1.5</v>
      </c>
      <c r="G94" s="21">
        <f>(F90-F89)*24+((G89-F90)*24)*C94/SUM($C$94:$C$95)</f>
        <v>1.75</v>
      </c>
      <c r="H94" s="21" t="str">
        <f t="shared" ref="H94:H95" si="20">"2:00"</f>
        <v>2:00</v>
      </c>
      <c r="I94" s="15" t="str">
        <f>"3:30"</f>
        <v>3:30</v>
      </c>
      <c r="J94" s="15" t="str">
        <f>"2:00"</f>
        <v>2:00</v>
      </c>
      <c r="K94" s="15" t="str">
        <f>"3:45"</f>
        <v>3:45</v>
      </c>
      <c r="L94" s="15" t="str">
        <f t="shared" ref="L94:L95" si="21">TEXT(F94,"0.0000")&amp;" → "&amp;TEXT(G94,"0.0000")&amp;" hrs (Delta "&amp;TEXT(G94-F94,"+0.0000;-0.0000;0.0000")&amp;")"</f>
        <v>1.5000 → 1.7500 hrs (Delta +0.2500)</v>
      </c>
    </row>
    <row r="95" ht="15.75" customHeight="1">
      <c r="A95" s="16" t="s">
        <v>30</v>
      </c>
      <c r="B95" s="16" t="s">
        <v>15</v>
      </c>
      <c r="C95" s="16">
        <v>100.0</v>
      </c>
      <c r="D95" s="14" t="s">
        <v>58</v>
      </c>
      <c r="E95" s="14" t="s">
        <v>58</v>
      </c>
      <c r="F95" s="21">
        <f>(G85-G84)*24+((G84-F85)*24)*C95/SUM($C$94:$C$95)</f>
        <v>1.5</v>
      </c>
      <c r="G95" s="21">
        <f>(G90-G89)*24+((G89-F90)*24)*C95/SUM($C$94:$C$95)</f>
        <v>1.25</v>
      </c>
      <c r="H95" s="21" t="str">
        <f t="shared" si="20"/>
        <v>2:00</v>
      </c>
      <c r="I95" s="15" t="str">
        <f>"5:00"</f>
        <v>5:00</v>
      </c>
      <c r="J95" s="15" t="str">
        <f>"3:45"</f>
        <v>3:45</v>
      </c>
      <c r="K95" s="15" t="str">
        <f>"5:00"</f>
        <v>5:00</v>
      </c>
      <c r="L95" s="15" t="str">
        <f t="shared" si="21"/>
        <v>1.5000 → 1.2500 hrs (Delta -0.2500)</v>
      </c>
    </row>
    <row r="96" ht="15.75" customHeight="1">
      <c r="D96" s="9"/>
      <c r="E96" s="9"/>
      <c r="F96" s="10"/>
      <c r="G96" s="10"/>
      <c r="H96" s="9"/>
    </row>
    <row r="97" ht="24.0" customHeight="1">
      <c r="A97" s="1" t="s">
        <v>59</v>
      </c>
    </row>
    <row r="98" ht="21.75" customHeight="1">
      <c r="A98" s="4" t="s">
        <v>43</v>
      </c>
    </row>
    <row r="99" ht="15.75" customHeight="1">
      <c r="A99" s="5" t="s">
        <v>4</v>
      </c>
      <c r="B99" s="5" t="s">
        <v>5</v>
      </c>
      <c r="C99" s="5" t="s">
        <v>6</v>
      </c>
      <c r="D99" s="6" t="s">
        <v>7</v>
      </c>
      <c r="E99" s="6" t="s">
        <v>8</v>
      </c>
      <c r="F99" s="7" t="s">
        <v>9</v>
      </c>
      <c r="G99" s="7" t="s">
        <v>10</v>
      </c>
      <c r="H99" s="6" t="s">
        <v>11</v>
      </c>
    </row>
    <row r="100" ht="15.75" customHeight="1">
      <c r="A100" s="8" t="s">
        <v>12</v>
      </c>
      <c r="B100" s="8" t="s">
        <v>13</v>
      </c>
      <c r="C100" s="8" t="s">
        <v>14</v>
      </c>
      <c r="D100" s="9" t="s">
        <v>15</v>
      </c>
      <c r="E100" s="9">
        <v>100.0</v>
      </c>
      <c r="F100" s="10">
        <v>0.08333333333333333</v>
      </c>
      <c r="G100" s="10">
        <v>0.16666666666666666</v>
      </c>
      <c r="H100" s="11">
        <f t="shared" ref="H100:H103" si="22">(G100-F100)*24</f>
        <v>2</v>
      </c>
    </row>
    <row r="101" ht="15.75" customHeight="1">
      <c r="A101" s="8" t="s">
        <v>12</v>
      </c>
      <c r="B101" s="8" t="s">
        <v>13</v>
      </c>
      <c r="C101" s="8" t="s">
        <v>14</v>
      </c>
      <c r="D101" s="9" t="s">
        <v>25</v>
      </c>
      <c r="E101" s="9">
        <v>50.0</v>
      </c>
      <c r="F101" s="10">
        <v>0.10416666666666667</v>
      </c>
      <c r="G101" s="10">
        <v>0.14583333333333334</v>
      </c>
      <c r="H101" s="11">
        <f t="shared" si="22"/>
        <v>1</v>
      </c>
    </row>
    <row r="102" ht="15.75" customHeight="1">
      <c r="A102" s="8" t="s">
        <v>30</v>
      </c>
      <c r="B102" s="8" t="s">
        <v>13</v>
      </c>
      <c r="C102" s="8" t="s">
        <v>14</v>
      </c>
      <c r="D102" s="9" t="s">
        <v>15</v>
      </c>
      <c r="E102" s="9">
        <v>100.0</v>
      </c>
      <c r="F102" s="10">
        <v>0.09375</v>
      </c>
      <c r="G102" s="10">
        <v>0.15625</v>
      </c>
      <c r="H102" s="11">
        <f t="shared" si="22"/>
        <v>1.5</v>
      </c>
    </row>
    <row r="103" ht="15.75" customHeight="1">
      <c r="A103" s="8" t="s">
        <v>30</v>
      </c>
      <c r="B103" s="8" t="s">
        <v>13</v>
      </c>
      <c r="C103" s="8" t="s">
        <v>14</v>
      </c>
      <c r="D103" s="9" t="s">
        <v>38</v>
      </c>
      <c r="E103" s="9">
        <v>40.0</v>
      </c>
      <c r="F103" s="10">
        <v>0.041666666666666664</v>
      </c>
      <c r="G103" s="10">
        <v>0.25</v>
      </c>
      <c r="H103" s="11">
        <f t="shared" si="22"/>
        <v>5</v>
      </c>
    </row>
    <row r="104" ht="15.75" customHeight="1">
      <c r="D104" s="9"/>
      <c r="E104" s="9"/>
      <c r="F104" s="10"/>
      <c r="G104" s="10"/>
      <c r="H104" s="9"/>
    </row>
    <row r="105" ht="21.75" customHeight="1">
      <c r="A105" s="4" t="s">
        <v>44</v>
      </c>
    </row>
    <row r="106" ht="15.75" customHeight="1">
      <c r="A106" s="5" t="s">
        <v>4</v>
      </c>
      <c r="B106" s="5" t="s">
        <v>5</v>
      </c>
      <c r="C106" s="5" t="s">
        <v>6</v>
      </c>
      <c r="D106" s="6" t="s">
        <v>7</v>
      </c>
      <c r="E106" s="6" t="s">
        <v>8</v>
      </c>
      <c r="F106" s="7" t="s">
        <v>9</v>
      </c>
      <c r="G106" s="7" t="s">
        <v>10</v>
      </c>
      <c r="H106" s="6" t="s">
        <v>11</v>
      </c>
    </row>
    <row r="107" ht="15.75" customHeight="1">
      <c r="A107" s="8" t="s">
        <v>12</v>
      </c>
      <c r="B107" s="8" t="s">
        <v>13</v>
      </c>
      <c r="C107" s="8" t="s">
        <v>14</v>
      </c>
      <c r="D107" s="9" t="s">
        <v>15</v>
      </c>
      <c r="E107" s="9">
        <v>100.0</v>
      </c>
      <c r="F107" s="10">
        <v>0.08333333333333333</v>
      </c>
      <c r="G107" s="10">
        <v>0.20833333333333334</v>
      </c>
      <c r="H107" s="11">
        <f t="shared" ref="H107:H110" si="23">(G107-F107)*24</f>
        <v>3</v>
      </c>
    </row>
    <row r="108" ht="15.75" customHeight="1">
      <c r="A108" s="8" t="s">
        <v>12</v>
      </c>
      <c r="B108" s="8" t="s">
        <v>13</v>
      </c>
      <c r="C108" s="8" t="s">
        <v>14</v>
      </c>
      <c r="D108" s="9" t="s">
        <v>25</v>
      </c>
      <c r="E108" s="9">
        <v>50.0</v>
      </c>
      <c r="F108" s="10">
        <v>0.10416666666666667</v>
      </c>
      <c r="G108" s="10">
        <v>0.14583333333333334</v>
      </c>
      <c r="H108" s="11">
        <f t="shared" si="23"/>
        <v>1</v>
      </c>
    </row>
    <row r="109" ht="15.75" customHeight="1">
      <c r="A109" s="8" t="s">
        <v>30</v>
      </c>
      <c r="B109" s="8" t="s">
        <v>13</v>
      </c>
      <c r="C109" s="8" t="s">
        <v>14</v>
      </c>
      <c r="D109" s="9" t="s">
        <v>15</v>
      </c>
      <c r="E109" s="9">
        <v>100.0</v>
      </c>
      <c r="F109" s="10">
        <v>0.09375</v>
      </c>
      <c r="G109" s="10">
        <v>0.15625</v>
      </c>
      <c r="H109" s="11">
        <f t="shared" si="23"/>
        <v>1.5</v>
      </c>
    </row>
    <row r="110" ht="15.75" customHeight="1">
      <c r="A110" s="8" t="s">
        <v>30</v>
      </c>
      <c r="B110" s="8" t="s">
        <v>13</v>
      </c>
      <c r="C110" s="8" t="s">
        <v>14</v>
      </c>
      <c r="D110" s="9" t="s">
        <v>38</v>
      </c>
      <c r="E110" s="9">
        <v>40.0</v>
      </c>
      <c r="F110" s="10">
        <v>0.041666666666666664</v>
      </c>
      <c r="G110" s="10">
        <v>0.25</v>
      </c>
      <c r="H110" s="11">
        <f t="shared" si="23"/>
        <v>5</v>
      </c>
    </row>
    <row r="111" ht="15.75" customHeight="1">
      <c r="D111" s="9"/>
      <c r="E111" s="9"/>
      <c r="F111" s="10"/>
      <c r="G111" s="10"/>
      <c r="H111" s="9"/>
    </row>
    <row r="112" ht="15.75" customHeight="1">
      <c r="A112" s="22" t="s">
        <v>60</v>
      </c>
    </row>
    <row r="113" ht="21.75" customHeight="1">
      <c r="A113" s="4" t="s">
        <v>45</v>
      </c>
    </row>
    <row r="114" ht="51.75" customHeight="1">
      <c r="A114" s="19" t="s">
        <v>4</v>
      </c>
      <c r="B114" s="19" t="s">
        <v>7</v>
      </c>
      <c r="C114" s="19" t="s">
        <v>8</v>
      </c>
      <c r="D114" s="19" t="s">
        <v>46</v>
      </c>
      <c r="E114" s="19" t="s">
        <v>47</v>
      </c>
      <c r="F114" s="20" t="s">
        <v>48</v>
      </c>
      <c r="G114" s="23" t="s">
        <v>61</v>
      </c>
      <c r="H114" s="23" t="s">
        <v>62</v>
      </c>
      <c r="I114" s="19" t="s">
        <v>50</v>
      </c>
      <c r="J114" s="19" t="s">
        <v>51</v>
      </c>
      <c r="K114" s="19" t="s">
        <v>52</v>
      </c>
      <c r="L114" s="19" t="s">
        <v>53</v>
      </c>
      <c r="M114" s="19" t="s">
        <v>54</v>
      </c>
    </row>
    <row r="115" ht="15.75" customHeight="1">
      <c r="A115" s="16" t="s">
        <v>12</v>
      </c>
      <c r="B115" s="16" t="s">
        <v>15</v>
      </c>
      <c r="C115" s="16">
        <v>100.0</v>
      </c>
      <c r="D115" s="14" t="s">
        <v>22</v>
      </c>
      <c r="E115" s="14" t="s">
        <v>31</v>
      </c>
      <c r="F115" s="21">
        <f>(F102-F100)*24*C115/(C115+C118)+(F101-F102)*24*C115/(C115+C117+C118)+(G101-F101)*24*C115/SUM($C$115:$C$118)+(G102-G101)*24*C115/(C115+C117+C118)+(G100-G102)*24*C115/(C115+C118)</f>
        <v>0.9103037767</v>
      </c>
      <c r="G115" s="21">
        <f>(F109-F107)*24*C115/(C115+C118)+(F108-F109)*24*C115/(C115+C117+C118)+(G108-F108)*24*C115/SUM($C$115:$C$118)+(G109-G108)*24*C115/(C115+C117+C118)+(G107-G109)*24*C115/(C115+C118)</f>
        <v>1.624589491</v>
      </c>
      <c r="H115" s="24">
        <v>0.9103</v>
      </c>
      <c r="I115" s="14" t="str">
        <f>"4:22"</f>
        <v>4:22</v>
      </c>
      <c r="J115" s="15" t="str">
        <f>"5:16"</f>
        <v>5:16</v>
      </c>
      <c r="K115" s="15" t="str">
        <f>"3:39"</f>
        <v>3:39</v>
      </c>
      <c r="L115" s="15" t="str">
        <f>"5:16"</f>
        <v>5:16</v>
      </c>
      <c r="M115" s="15" t="str">
        <f t="shared" ref="M115:M118" si="24">TEXT(G115,"0.0000")&amp;" → "&amp;TEXT(H115,"0.0000")&amp;" hrs (Delta "&amp;TEXT(H115-G115,"+0.0000;-0.0000;0.0000")&amp;")"</f>
        <v>1.6246 → 0.9103 hrs (Delta -0.7143)</v>
      </c>
    </row>
    <row r="116" ht="15.75" customHeight="1">
      <c r="A116" s="16" t="s">
        <v>12</v>
      </c>
      <c r="B116" s="16" t="s">
        <v>25</v>
      </c>
      <c r="C116" s="16">
        <v>50.0</v>
      </c>
      <c r="D116" s="14" t="s">
        <v>39</v>
      </c>
      <c r="E116" s="14" t="s">
        <v>39</v>
      </c>
      <c r="F116" s="21">
        <f>(G101-F101)*24*C116/SUM($C$115:$C$118)</f>
        <v>0.1724137931</v>
      </c>
      <c r="G116" s="21">
        <f>(G108-F108)*24*C116/SUM($C$115:$C$118)</f>
        <v>0.1724137931</v>
      </c>
      <c r="H116" s="24">
        <v>0.1724</v>
      </c>
      <c r="I116" s="14" t="str">
        <f>"5:50"</f>
        <v>5:50</v>
      </c>
      <c r="J116" s="15" t="str">
        <f>"6:00"</f>
        <v>6:00</v>
      </c>
      <c r="K116" s="15" t="str">
        <f>"5:50"</f>
        <v>5:50</v>
      </c>
      <c r="L116" s="15" t="str">
        <f>"6:00"</f>
        <v>6:00</v>
      </c>
      <c r="M116" s="15" t="str">
        <f t="shared" si="24"/>
        <v>0.1724 → 0.1724 hrs (Delta -0.0000)</v>
      </c>
    </row>
    <row r="117" ht="15.75" customHeight="1">
      <c r="A117" s="16" t="s">
        <v>30</v>
      </c>
      <c r="B117" s="16" t="s">
        <v>15</v>
      </c>
      <c r="C117" s="16">
        <v>100.0</v>
      </c>
      <c r="D117" s="14" t="s">
        <v>40</v>
      </c>
      <c r="E117" s="14" t="s">
        <v>40</v>
      </c>
      <c r="F117" s="21">
        <f>(F101-F102)*24*C117/(C115+C117+C118)+(G101-F101)*24*C117/SUM($C$115:$C$118)+(G102-G101)*24*C117/(C115+C117+C118)</f>
        <v>0.5531609195</v>
      </c>
      <c r="G117" s="21">
        <f>(F108-F109)*24*C117/(C115+C117+C118)+(G108-F108)*24*C117/SUM($C$115:$C$118)+(G109-G108)*24*C117/(C115+C117+C118)</f>
        <v>0.5531609195</v>
      </c>
      <c r="H117" s="24">
        <v>0.5532</v>
      </c>
      <c r="I117" s="14" t="str">
        <f>"5:16"</f>
        <v>5:16</v>
      </c>
      <c r="J117" s="15" t="str">
        <f>"5:50"</f>
        <v>5:50</v>
      </c>
      <c r="K117" s="15" t="str">
        <f>"5:16"</f>
        <v>5:16</v>
      </c>
      <c r="L117" s="15" t="str">
        <f>"5:50"</f>
        <v>5:50</v>
      </c>
      <c r="M117" s="15" t="str">
        <f t="shared" si="24"/>
        <v>0.5532 → 0.5532 hrs (Delta +0.0000)</v>
      </c>
    </row>
    <row r="118" ht="15.75" customHeight="1">
      <c r="A118" s="16" t="s">
        <v>30</v>
      </c>
      <c r="B118" s="16" t="s">
        <v>38</v>
      </c>
      <c r="C118" s="16">
        <v>40.0</v>
      </c>
      <c r="D118" s="14" t="s">
        <v>41</v>
      </c>
      <c r="E118" s="14" t="s">
        <v>41</v>
      </c>
      <c r="F118" s="21">
        <f>(F100-F103)*24+(F102-F100)*24*C118/(C115+C118)+(F101-F102)*24*C118/(C115+C117+C118)+(G101-F101)*24*C118/SUM($C$115:$C$118)+(G102-G101)*24*C118/(C115+C117+C118)+(G100-G102)*24*C118/(C115+C118)+(G103-G100)*24</f>
        <v>3.364121511</v>
      </c>
      <c r="G118" s="21">
        <f>(F107-F110)*24+(F109-F107)*24*C118/(C115+C118)+(F108-F109)*24*C118/(C115+C117+C118)+(G108-F108)*24*C118/SUM($C$115:$C$118)+(G109-G108)*24*C118/(C115+C117+C118)+(G107-G109)*24*C118/(C115+C118)+(G110-G107)*24</f>
        <v>2.649835796</v>
      </c>
      <c r="H118" s="24">
        <v>3.3641</v>
      </c>
      <c r="I118" s="14" t="str">
        <f>"1:00"</f>
        <v>1:00</v>
      </c>
      <c r="J118" s="15" t="str">
        <f>"4:22"</f>
        <v>4:22</v>
      </c>
      <c r="K118" s="15" t="str">
        <f>"1:00"</f>
        <v>1:00</v>
      </c>
      <c r="L118" s="15" t="str">
        <f>"3:39"</f>
        <v>3:39</v>
      </c>
      <c r="M118" s="15" t="str">
        <f t="shared" si="24"/>
        <v>2.6498 → 3.3641 hrs (Delta +0.7143)</v>
      </c>
    </row>
    <row r="119" ht="15.75" customHeight="1"/>
    <row r="120" ht="15.75" customHeight="1"/>
    <row r="121" ht="30.0" customHeight="1">
      <c r="A121" s="25" t="s">
        <v>63</v>
      </c>
      <c r="B121" s="25"/>
      <c r="C121" s="25"/>
      <c r="D121" s="25"/>
      <c r="E121" s="25"/>
      <c r="F121" s="25"/>
      <c r="G121" s="25"/>
      <c r="H121" s="25"/>
      <c r="I121" s="25"/>
      <c r="J121" s="25"/>
      <c r="K121" s="25"/>
      <c r="L121" s="25"/>
      <c r="M121" s="25"/>
      <c r="N121" s="26"/>
      <c r="O121" s="26"/>
    </row>
    <row r="122" ht="30.0" customHeight="1">
      <c r="A122" s="27" t="s">
        <v>64</v>
      </c>
      <c r="B122" s="28" t="s">
        <v>65</v>
      </c>
      <c r="C122" s="28"/>
      <c r="D122" s="28"/>
      <c r="E122" s="28"/>
      <c r="F122" s="28"/>
      <c r="G122" s="28"/>
      <c r="H122" s="28"/>
      <c r="I122" s="28"/>
      <c r="J122" s="28"/>
      <c r="K122" s="28"/>
      <c r="L122" s="28"/>
      <c r="M122" s="28"/>
    </row>
    <row r="123" ht="30.0" customHeight="1">
      <c r="A123" s="29" t="s">
        <v>43</v>
      </c>
      <c r="B123" s="29"/>
      <c r="C123" s="29"/>
      <c r="D123" s="29"/>
      <c r="E123" s="29"/>
      <c r="F123" s="29"/>
      <c r="G123" s="29"/>
      <c r="H123" s="29"/>
      <c r="I123" s="29"/>
      <c r="J123" s="29"/>
      <c r="K123" s="29"/>
      <c r="L123" s="29"/>
      <c r="M123" s="29"/>
      <c r="N123" s="30"/>
      <c r="O123" s="30"/>
    </row>
    <row r="124" ht="30.0" customHeight="1">
      <c r="A124" s="31" t="s">
        <v>4</v>
      </c>
      <c r="B124" s="31" t="s">
        <v>5</v>
      </c>
      <c r="C124" s="31" t="s">
        <v>6</v>
      </c>
      <c r="D124" s="31" t="s">
        <v>7</v>
      </c>
      <c r="E124" s="31" t="s">
        <v>8</v>
      </c>
      <c r="F124" s="31" t="s">
        <v>9</v>
      </c>
      <c r="G124" s="31" t="s">
        <v>10</v>
      </c>
      <c r="H124" s="31" t="s">
        <v>11</v>
      </c>
      <c r="I124" s="31" t="s">
        <v>66</v>
      </c>
      <c r="J124" s="31" t="s">
        <v>64</v>
      </c>
      <c r="K124" s="31"/>
      <c r="L124" s="31"/>
      <c r="M124" s="31"/>
    </row>
    <row r="125" ht="30.0" customHeight="1">
      <c r="A125" s="32" t="s">
        <v>12</v>
      </c>
      <c r="B125" s="32" t="s">
        <v>13</v>
      </c>
      <c r="C125" s="32" t="s">
        <v>14</v>
      </c>
      <c r="D125" s="32" t="s">
        <v>15</v>
      </c>
      <c r="E125" s="32">
        <v>50.0</v>
      </c>
      <c r="F125" s="33" t="s">
        <v>67</v>
      </c>
      <c r="G125" s="33" t="s">
        <v>68</v>
      </c>
      <c r="H125" s="34">
        <v>2.0</v>
      </c>
      <c r="I125" s="32" t="s">
        <v>69</v>
      </c>
      <c r="J125" s="32" t="s">
        <v>70</v>
      </c>
      <c r="K125" s="32"/>
      <c r="L125" s="32"/>
      <c r="M125" s="32"/>
    </row>
    <row r="126" ht="30.0" customHeight="1">
      <c r="A126" s="32" t="s">
        <v>30</v>
      </c>
      <c r="B126" s="32" t="s">
        <v>13</v>
      </c>
      <c r="C126" s="32" t="s">
        <v>14</v>
      </c>
      <c r="D126" s="32" t="s">
        <v>25</v>
      </c>
      <c r="E126" s="32">
        <v>100.0</v>
      </c>
      <c r="F126" s="33" t="s">
        <v>71</v>
      </c>
      <c r="G126" s="33" t="s">
        <v>68</v>
      </c>
      <c r="H126" s="34">
        <v>1.0</v>
      </c>
      <c r="I126" s="32" t="s">
        <v>69</v>
      </c>
      <c r="J126" s="32" t="s">
        <v>72</v>
      </c>
      <c r="K126" s="32"/>
      <c r="L126" s="32"/>
      <c r="M126" s="32"/>
    </row>
    <row r="127" ht="30.0" customHeight="1">
      <c r="A127" s="32"/>
      <c r="B127" s="32"/>
      <c r="C127" s="32"/>
      <c r="D127" s="32"/>
      <c r="E127" s="32"/>
      <c r="F127" s="32"/>
      <c r="G127" s="32"/>
      <c r="H127" s="32"/>
      <c r="I127" s="32"/>
      <c r="J127" s="32"/>
      <c r="K127" s="32"/>
      <c r="L127" s="32"/>
      <c r="M127" s="32"/>
    </row>
    <row r="128" ht="30.0" customHeight="1">
      <c r="A128" s="35" t="s">
        <v>73</v>
      </c>
      <c r="B128" s="29"/>
      <c r="C128" s="29"/>
      <c r="D128" s="29"/>
      <c r="E128" s="29"/>
      <c r="F128" s="29"/>
      <c r="G128" s="29"/>
      <c r="H128" s="29"/>
      <c r="I128" s="29"/>
      <c r="J128" s="29"/>
      <c r="K128" s="29"/>
      <c r="L128" s="29"/>
      <c r="M128" s="29"/>
      <c r="N128" s="30"/>
      <c r="O128" s="30"/>
    </row>
    <row r="129" ht="30.0" customHeight="1">
      <c r="A129" s="31" t="s">
        <v>4</v>
      </c>
      <c r="B129" s="31" t="s">
        <v>5</v>
      </c>
      <c r="C129" s="31" t="s">
        <v>6</v>
      </c>
      <c r="D129" s="31" t="s">
        <v>7</v>
      </c>
      <c r="E129" s="31" t="s">
        <v>8</v>
      </c>
      <c r="F129" s="31" t="s">
        <v>9</v>
      </c>
      <c r="G129" s="31" t="s">
        <v>10</v>
      </c>
      <c r="H129" s="31" t="s">
        <v>11</v>
      </c>
      <c r="I129" s="31" t="s">
        <v>66</v>
      </c>
      <c r="J129" s="31" t="s">
        <v>64</v>
      </c>
      <c r="K129" s="31"/>
      <c r="L129" s="31"/>
      <c r="M129" s="31"/>
    </row>
    <row r="130" ht="30.0" customHeight="1">
      <c r="A130" s="36" t="s">
        <v>12</v>
      </c>
      <c r="B130" s="36" t="s">
        <v>13</v>
      </c>
      <c r="C130" s="36" t="s">
        <v>14</v>
      </c>
      <c r="D130" s="36" t="s">
        <v>15</v>
      </c>
      <c r="E130" s="36">
        <v>50.0</v>
      </c>
      <c r="F130" s="36" t="s">
        <v>67</v>
      </c>
      <c r="G130" s="36" t="s">
        <v>74</v>
      </c>
      <c r="H130" s="36">
        <v>1.3333</v>
      </c>
      <c r="I130" s="36" t="s">
        <v>69</v>
      </c>
      <c r="J130" s="36" t="s">
        <v>75</v>
      </c>
      <c r="K130" s="36"/>
      <c r="L130" s="36"/>
      <c r="M130" s="36"/>
    </row>
    <row r="131" ht="30.0" customHeight="1">
      <c r="A131" s="32" t="s">
        <v>30</v>
      </c>
      <c r="B131" s="32" t="s">
        <v>13</v>
      </c>
      <c r="C131" s="32" t="s">
        <v>14</v>
      </c>
      <c r="D131" s="32" t="s">
        <v>25</v>
      </c>
      <c r="E131" s="32">
        <v>100.0</v>
      </c>
      <c r="F131" s="33" t="s">
        <v>74</v>
      </c>
      <c r="G131" s="33" t="s">
        <v>68</v>
      </c>
      <c r="H131" s="34">
        <v>0.6667</v>
      </c>
      <c r="I131" s="32" t="s">
        <v>76</v>
      </c>
      <c r="J131" s="32" t="s">
        <v>77</v>
      </c>
      <c r="K131" s="32"/>
      <c r="L131" s="32"/>
      <c r="M131" s="32"/>
    </row>
    <row r="132" ht="30.0" customHeight="1">
      <c r="A132" s="37"/>
      <c r="B132" s="37"/>
      <c r="C132" s="37"/>
      <c r="D132" s="37"/>
      <c r="E132" s="37"/>
      <c r="F132" s="38"/>
      <c r="G132" s="38"/>
      <c r="H132" s="39"/>
      <c r="I132" s="37"/>
      <c r="J132" s="37"/>
      <c r="K132" s="37"/>
      <c r="L132" s="37"/>
      <c r="M132" s="37"/>
    </row>
    <row r="133" ht="30.0" customHeight="1">
      <c r="A133" s="29" t="s">
        <v>45</v>
      </c>
      <c r="B133" s="29"/>
      <c r="C133" s="29"/>
      <c r="D133" s="29"/>
      <c r="E133" s="29"/>
      <c r="F133" s="29"/>
      <c r="G133" s="29"/>
      <c r="H133" s="29"/>
      <c r="I133" s="29"/>
      <c r="J133" s="29"/>
      <c r="K133" s="29"/>
      <c r="L133" s="29"/>
      <c r="M133" s="29"/>
      <c r="N133" s="30"/>
      <c r="O133" s="30"/>
    </row>
    <row r="134" ht="30.0" customHeight="1">
      <c r="A134" s="31" t="s">
        <v>4</v>
      </c>
      <c r="B134" s="31" t="s">
        <v>7</v>
      </c>
      <c r="C134" s="31" t="s">
        <v>8</v>
      </c>
      <c r="D134" s="31" t="s">
        <v>46</v>
      </c>
      <c r="E134" s="31" t="s">
        <v>47</v>
      </c>
      <c r="F134" s="31" t="s">
        <v>48</v>
      </c>
      <c r="G134" s="31" t="s">
        <v>49</v>
      </c>
      <c r="H134" s="31" t="s">
        <v>50</v>
      </c>
      <c r="I134" s="31" t="s">
        <v>51</v>
      </c>
      <c r="J134" s="31" t="s">
        <v>52</v>
      </c>
      <c r="K134" s="31" t="s">
        <v>53</v>
      </c>
      <c r="L134" s="31" t="s">
        <v>54</v>
      </c>
      <c r="M134" s="31" t="s">
        <v>78</v>
      </c>
    </row>
    <row r="135" ht="30.0" customHeight="1">
      <c r="A135" s="40" t="s">
        <v>12</v>
      </c>
      <c r="B135" s="40" t="s">
        <v>15</v>
      </c>
      <c r="C135" s="40">
        <v>50.0</v>
      </c>
      <c r="D135" s="40" t="s">
        <v>22</v>
      </c>
      <c r="E135" s="40" t="s">
        <v>79</v>
      </c>
      <c r="F135" s="40">
        <v>1.3333</v>
      </c>
      <c r="G135" s="40">
        <v>1.3333</v>
      </c>
      <c r="H135" s="40" t="s">
        <v>67</v>
      </c>
      <c r="I135" s="40" t="s">
        <v>74</v>
      </c>
      <c r="J135" s="40" t="s">
        <v>67</v>
      </c>
      <c r="K135" s="40" t="s">
        <v>74</v>
      </c>
      <c r="L135" s="40" t="s">
        <v>80</v>
      </c>
      <c r="M135" s="40" t="s">
        <v>81</v>
      </c>
    </row>
    <row r="136" ht="30.0" customHeight="1">
      <c r="A136" s="36" t="s">
        <v>30</v>
      </c>
      <c r="B136" s="36" t="s">
        <v>25</v>
      </c>
      <c r="C136" s="36">
        <v>100.0</v>
      </c>
      <c r="D136" s="36" t="s">
        <v>28</v>
      </c>
      <c r="E136" s="36" t="s">
        <v>82</v>
      </c>
      <c r="F136" s="36">
        <v>0.6667</v>
      </c>
      <c r="G136" s="36">
        <v>0.0</v>
      </c>
      <c r="H136" s="36" t="s">
        <v>74</v>
      </c>
      <c r="I136" s="36" t="s">
        <v>68</v>
      </c>
      <c r="J136" s="36" t="s">
        <v>83</v>
      </c>
      <c r="K136" s="36" t="s">
        <v>83</v>
      </c>
      <c r="L136" s="36" t="s">
        <v>84</v>
      </c>
      <c r="M136" s="36" t="s">
        <v>85</v>
      </c>
    </row>
    <row r="137" ht="30.0" customHeight="1">
      <c r="A137" s="32"/>
      <c r="B137" s="32"/>
      <c r="C137" s="32"/>
      <c r="D137" s="32"/>
      <c r="E137" s="32"/>
      <c r="F137" s="34"/>
      <c r="G137" s="34"/>
      <c r="H137" s="33"/>
      <c r="I137" s="33"/>
      <c r="J137" s="33"/>
      <c r="K137" s="33"/>
      <c r="L137" s="32"/>
      <c r="M137" s="32"/>
    </row>
    <row r="138" ht="30.0" customHeight="1">
      <c r="A138" s="40" t="s">
        <v>86</v>
      </c>
      <c r="B138" s="40"/>
      <c r="C138" s="40"/>
      <c r="D138" s="40"/>
      <c r="E138" s="40"/>
      <c r="F138" s="41"/>
      <c r="G138" s="41"/>
      <c r="H138" s="42"/>
      <c r="I138" s="42"/>
      <c r="J138" s="42"/>
      <c r="K138" s="42"/>
      <c r="L138" s="40"/>
      <c r="M138" s="40"/>
      <c r="N138" s="26"/>
      <c r="O138" s="26"/>
    </row>
    <row r="139" ht="30.0" customHeight="1">
      <c r="A139" s="32" t="s">
        <v>64</v>
      </c>
      <c r="B139" s="32" t="s">
        <v>87</v>
      </c>
      <c r="C139" s="32"/>
      <c r="D139" s="32"/>
      <c r="E139" s="32"/>
      <c r="F139" s="32"/>
      <c r="G139" s="32"/>
      <c r="H139" s="32"/>
      <c r="I139" s="32"/>
      <c r="J139" s="32"/>
      <c r="K139" s="32"/>
      <c r="L139" s="32"/>
      <c r="M139" s="32"/>
    </row>
    <row r="140" ht="30.0" customHeight="1">
      <c r="A140" s="43" t="s">
        <v>43</v>
      </c>
      <c r="B140" s="43"/>
      <c r="C140" s="43"/>
      <c r="D140" s="43"/>
      <c r="E140" s="43"/>
      <c r="F140" s="43"/>
      <c r="G140" s="43"/>
      <c r="H140" s="43"/>
      <c r="I140" s="43"/>
      <c r="J140" s="43"/>
      <c r="K140" s="43"/>
      <c r="L140" s="43"/>
      <c r="M140" s="43"/>
      <c r="N140" s="30"/>
      <c r="O140" s="30"/>
    </row>
    <row r="141" ht="30.0" customHeight="1">
      <c r="A141" s="31" t="s">
        <v>4</v>
      </c>
      <c r="B141" s="31" t="s">
        <v>5</v>
      </c>
      <c r="C141" s="31" t="s">
        <v>6</v>
      </c>
      <c r="D141" s="31" t="s">
        <v>7</v>
      </c>
      <c r="E141" s="31" t="s">
        <v>8</v>
      </c>
      <c r="F141" s="31" t="s">
        <v>9</v>
      </c>
      <c r="G141" s="31" t="s">
        <v>10</v>
      </c>
      <c r="H141" s="31" t="s">
        <v>11</v>
      </c>
      <c r="I141" s="31" t="s">
        <v>66</v>
      </c>
      <c r="J141" s="31" t="s">
        <v>64</v>
      </c>
      <c r="K141" s="31"/>
      <c r="L141" s="31"/>
      <c r="M141" s="31"/>
    </row>
    <row r="142" ht="30.0" customHeight="1">
      <c r="A142" s="40" t="s">
        <v>12</v>
      </c>
      <c r="B142" s="40" t="s">
        <v>13</v>
      </c>
      <c r="C142" s="40" t="s">
        <v>14</v>
      </c>
      <c r="D142" s="40" t="s">
        <v>15</v>
      </c>
      <c r="E142" s="40">
        <v>50.0</v>
      </c>
      <c r="F142" s="40" t="s">
        <v>67</v>
      </c>
      <c r="G142" s="40" t="s">
        <v>68</v>
      </c>
      <c r="H142" s="40">
        <v>2.0</v>
      </c>
      <c r="I142" s="40" t="s">
        <v>69</v>
      </c>
      <c r="J142" s="40" t="s">
        <v>70</v>
      </c>
      <c r="K142" s="40"/>
      <c r="L142" s="40"/>
      <c r="M142" s="40"/>
    </row>
    <row r="143" ht="30.0" customHeight="1">
      <c r="A143" s="36" t="s">
        <v>30</v>
      </c>
      <c r="B143" s="36" t="s">
        <v>13</v>
      </c>
      <c r="C143" s="36" t="s">
        <v>14</v>
      </c>
      <c r="D143" s="36" t="s">
        <v>25</v>
      </c>
      <c r="E143" s="36">
        <v>100.0</v>
      </c>
      <c r="F143" s="36" t="s">
        <v>71</v>
      </c>
      <c r="G143" s="36" t="s">
        <v>68</v>
      </c>
      <c r="H143" s="36">
        <v>1.0</v>
      </c>
      <c r="I143" s="36" t="s">
        <v>69</v>
      </c>
      <c r="J143" s="36" t="s">
        <v>72</v>
      </c>
      <c r="K143" s="36"/>
      <c r="L143" s="36"/>
      <c r="M143" s="36"/>
    </row>
    <row r="144" ht="30.0" customHeight="1">
      <c r="A144" s="32"/>
      <c r="B144" s="32"/>
      <c r="C144" s="32"/>
      <c r="D144" s="32"/>
      <c r="E144" s="32"/>
      <c r="F144" s="33"/>
      <c r="G144" s="33"/>
      <c r="H144" s="34"/>
      <c r="I144" s="32"/>
      <c r="J144" s="32"/>
      <c r="K144" s="32"/>
      <c r="L144" s="32"/>
      <c r="M144" s="32"/>
    </row>
    <row r="145" ht="51.75" customHeight="1">
      <c r="A145" s="35" t="s">
        <v>88</v>
      </c>
      <c r="B145" s="29"/>
      <c r="C145" s="29"/>
      <c r="D145" s="29"/>
      <c r="E145" s="29"/>
      <c r="F145" s="44"/>
      <c r="G145" s="44"/>
      <c r="H145" s="45"/>
      <c r="I145" s="29"/>
      <c r="J145" s="29"/>
      <c r="K145" s="29"/>
      <c r="L145" s="29"/>
      <c r="M145" s="29"/>
      <c r="N145" s="30"/>
      <c r="O145" s="30"/>
    </row>
    <row r="146" ht="30.0" customHeight="1">
      <c r="A146" s="31" t="s">
        <v>4</v>
      </c>
      <c r="B146" s="31" t="s">
        <v>5</v>
      </c>
      <c r="C146" s="31" t="s">
        <v>6</v>
      </c>
      <c r="D146" s="31" t="s">
        <v>7</v>
      </c>
      <c r="E146" s="31" t="s">
        <v>8</v>
      </c>
      <c r="F146" s="31" t="s">
        <v>9</v>
      </c>
      <c r="G146" s="31" t="s">
        <v>10</v>
      </c>
      <c r="H146" s="31" t="s">
        <v>11</v>
      </c>
      <c r="I146" s="31" t="s">
        <v>66</v>
      </c>
      <c r="J146" s="31" t="s">
        <v>64</v>
      </c>
      <c r="K146" s="31"/>
      <c r="L146" s="31"/>
      <c r="M146" s="31"/>
    </row>
    <row r="147" ht="30.0" customHeight="1">
      <c r="A147" s="32" t="s">
        <v>12</v>
      </c>
      <c r="B147" s="32" t="s">
        <v>13</v>
      </c>
      <c r="C147" s="32" t="s">
        <v>14</v>
      </c>
      <c r="D147" s="32" t="s">
        <v>15</v>
      </c>
      <c r="E147" s="32">
        <v>50.0</v>
      </c>
      <c r="F147" s="32" t="s">
        <v>67</v>
      </c>
      <c r="G147" s="46">
        <v>0.125</v>
      </c>
      <c r="H147" s="32">
        <v>1.0</v>
      </c>
      <c r="I147" s="32" t="s">
        <v>69</v>
      </c>
      <c r="J147" s="32" t="s">
        <v>89</v>
      </c>
      <c r="K147" s="32"/>
      <c r="L147" s="32"/>
      <c r="M147" s="32"/>
    </row>
    <row r="148" ht="30.0" customHeight="1">
      <c r="A148" s="40" t="s">
        <v>30</v>
      </c>
      <c r="B148" s="40" t="s">
        <v>13</v>
      </c>
      <c r="C148" s="40" t="s">
        <v>14</v>
      </c>
      <c r="D148" s="40" t="s">
        <v>25</v>
      </c>
      <c r="E148" s="40">
        <v>100.0</v>
      </c>
      <c r="F148" s="40" t="s">
        <v>74</v>
      </c>
      <c r="G148" s="40" t="s">
        <v>68</v>
      </c>
      <c r="H148" s="40">
        <v>0.6667</v>
      </c>
      <c r="I148" s="40" t="s">
        <v>69</v>
      </c>
      <c r="J148" s="40" t="s">
        <v>90</v>
      </c>
      <c r="K148" s="40"/>
      <c r="L148" s="40"/>
      <c r="M148" s="40"/>
    </row>
    <row r="149" ht="30.0" customHeight="1">
      <c r="A149" s="36"/>
      <c r="B149" s="36"/>
      <c r="C149" s="36"/>
      <c r="D149" s="36"/>
      <c r="E149" s="36"/>
      <c r="F149" s="36"/>
      <c r="G149" s="36"/>
      <c r="H149" s="36"/>
      <c r="I149" s="36"/>
      <c r="J149" s="36"/>
      <c r="K149" s="36"/>
      <c r="L149" s="36"/>
      <c r="M149" s="36"/>
    </row>
    <row r="150" ht="30.0" customHeight="1">
      <c r="A150" s="29" t="s">
        <v>45</v>
      </c>
      <c r="B150" s="29"/>
      <c r="C150" s="29"/>
      <c r="D150" s="29"/>
      <c r="E150" s="29"/>
      <c r="F150" s="44"/>
      <c r="G150" s="44"/>
      <c r="H150" s="45"/>
      <c r="I150" s="29"/>
      <c r="J150" s="29"/>
      <c r="K150" s="29"/>
      <c r="L150" s="29"/>
      <c r="M150" s="29"/>
      <c r="N150" s="30"/>
      <c r="O150" s="30"/>
    </row>
    <row r="151" ht="30.0" customHeight="1">
      <c r="A151" s="31" t="s">
        <v>4</v>
      </c>
      <c r="B151" s="31" t="s">
        <v>7</v>
      </c>
      <c r="C151" s="31" t="s">
        <v>8</v>
      </c>
      <c r="D151" s="31" t="s">
        <v>46</v>
      </c>
      <c r="E151" s="31" t="s">
        <v>47</v>
      </c>
      <c r="F151" s="47" t="s">
        <v>48</v>
      </c>
      <c r="G151" s="47" t="s">
        <v>49</v>
      </c>
      <c r="H151" s="48" t="s">
        <v>50</v>
      </c>
      <c r="I151" s="31" t="s">
        <v>51</v>
      </c>
      <c r="J151" s="31" t="s">
        <v>52</v>
      </c>
      <c r="K151" s="31" t="s">
        <v>53</v>
      </c>
      <c r="L151" s="31" t="s">
        <v>54</v>
      </c>
      <c r="M151" s="31" t="s">
        <v>78</v>
      </c>
    </row>
    <row r="152" ht="30.0" customHeight="1">
      <c r="A152" s="32" t="s">
        <v>12</v>
      </c>
      <c r="B152" s="32" t="s">
        <v>15</v>
      </c>
      <c r="C152" s="32">
        <v>50.0</v>
      </c>
      <c r="D152" s="32" t="s">
        <v>22</v>
      </c>
      <c r="E152" s="32" t="s">
        <v>91</v>
      </c>
      <c r="F152" s="32">
        <v>1.3333</v>
      </c>
      <c r="G152" s="32">
        <v>1.0</v>
      </c>
      <c r="H152" s="32" t="s">
        <v>67</v>
      </c>
      <c r="I152" s="32" t="s">
        <v>74</v>
      </c>
      <c r="J152" s="32" t="s">
        <v>67</v>
      </c>
      <c r="K152" s="32" t="s">
        <v>71</v>
      </c>
      <c r="L152" s="32" t="s">
        <v>92</v>
      </c>
      <c r="M152" s="32" t="s">
        <v>93</v>
      </c>
    </row>
    <row r="153" ht="30.0" customHeight="1">
      <c r="A153" s="32" t="s">
        <v>30</v>
      </c>
      <c r="B153" s="32" t="s">
        <v>25</v>
      </c>
      <c r="C153" s="32">
        <v>100.0</v>
      </c>
      <c r="D153" s="32" t="s">
        <v>28</v>
      </c>
      <c r="E153" s="32" t="s">
        <v>94</v>
      </c>
      <c r="F153" s="32">
        <v>0.6667</v>
      </c>
      <c r="G153" s="32">
        <v>0.6667</v>
      </c>
      <c r="H153" s="32" t="s">
        <v>74</v>
      </c>
      <c r="I153" s="32" t="s">
        <v>68</v>
      </c>
      <c r="J153" s="32" t="s">
        <v>74</v>
      </c>
      <c r="K153" s="32" t="s">
        <v>68</v>
      </c>
      <c r="L153" s="32" t="s">
        <v>95</v>
      </c>
      <c r="M153" s="32" t="s">
        <v>96</v>
      </c>
    </row>
    <row r="154" ht="15.75" customHeight="1">
      <c r="A154" s="49"/>
      <c r="B154" s="49"/>
      <c r="C154" s="49"/>
      <c r="D154" s="49"/>
      <c r="E154" s="49"/>
      <c r="F154" s="49"/>
      <c r="G154" s="49"/>
      <c r="H154" s="49"/>
      <c r="I154" s="49"/>
      <c r="J154" s="49"/>
      <c r="K154" s="49"/>
      <c r="L154" s="49"/>
      <c r="M154" s="49"/>
    </row>
    <row r="155" ht="27.75" customHeight="1">
      <c r="A155" s="50"/>
      <c r="B155" s="50"/>
      <c r="C155" s="50"/>
      <c r="D155" s="50"/>
      <c r="E155" s="50"/>
      <c r="F155" s="50"/>
      <c r="G155" s="50"/>
      <c r="H155" s="50"/>
      <c r="I155" s="50"/>
      <c r="J155" s="50"/>
      <c r="K155" s="50"/>
      <c r="L155" s="50"/>
      <c r="M155" s="50"/>
    </row>
    <row r="156" ht="33.75" customHeight="1">
      <c r="A156" s="15"/>
      <c r="B156" s="15"/>
      <c r="C156" s="15"/>
      <c r="D156" s="15"/>
      <c r="E156" s="15"/>
      <c r="F156" s="51"/>
      <c r="G156" s="51"/>
      <c r="H156" s="52"/>
      <c r="I156" s="52"/>
      <c r="J156" s="52"/>
      <c r="K156" s="52"/>
      <c r="L156" s="15"/>
      <c r="M156" s="15"/>
    </row>
    <row r="157" ht="33.75" customHeight="1">
      <c r="A157" s="15"/>
      <c r="B157" s="15"/>
      <c r="C157" s="15"/>
      <c r="D157" s="15"/>
      <c r="E157" s="15"/>
      <c r="F157" s="51"/>
      <c r="G157" s="51"/>
      <c r="H157" s="52"/>
      <c r="I157" s="52"/>
      <c r="J157" s="52"/>
      <c r="K157" s="52"/>
      <c r="L157" s="15"/>
      <c r="M157" s="15"/>
    </row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</sheetData>
  <mergeCells count="31">
    <mergeCell ref="A1:I1"/>
    <mergeCell ref="A2:I2"/>
    <mergeCell ref="A3:I3"/>
    <mergeCell ref="A4:I4"/>
    <mergeCell ref="A8:I8"/>
    <mergeCell ref="A13:I13"/>
    <mergeCell ref="A14:I14"/>
    <mergeCell ref="A19:I19"/>
    <mergeCell ref="A25:I25"/>
    <mergeCell ref="A26:I26"/>
    <mergeCell ref="A31:I31"/>
    <mergeCell ref="A37:I37"/>
    <mergeCell ref="A38:I38"/>
    <mergeCell ref="A43:I43"/>
    <mergeCell ref="A49:I49"/>
    <mergeCell ref="A50:I50"/>
    <mergeCell ref="A57:I57"/>
    <mergeCell ref="A64:I64"/>
    <mergeCell ref="A65:I65"/>
    <mergeCell ref="A66:I66"/>
    <mergeCell ref="A71:I71"/>
    <mergeCell ref="A105:I105"/>
    <mergeCell ref="A112:I112"/>
    <mergeCell ref="A113:I113"/>
    <mergeCell ref="A76:I76"/>
    <mergeCell ref="A81:I81"/>
    <mergeCell ref="A82:I82"/>
    <mergeCell ref="A87:I87"/>
    <mergeCell ref="A92:I92"/>
    <mergeCell ref="A97:I97"/>
    <mergeCell ref="A98:I98"/>
  </mergeCells>
  <printOptions/>
  <pageMargins bottom="0.75" footer="0.0" header="0.0" left="0.7" right="0.7" top="0.75"/>
  <pageSetup orientation="landscape"/>
  <drawing r:id="rId1"/>
</worksheet>
</file>