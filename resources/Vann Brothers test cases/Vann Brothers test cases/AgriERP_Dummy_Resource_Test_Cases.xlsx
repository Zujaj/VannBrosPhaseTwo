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eb - Resource Selection" sheetId="2" state="visible" r:id="rId4"/>
    <sheet name="Mobile - Dummy Resource" sheetId="3" state="visible" r:id="rId5"/>
    <sheet name="Machine Binding &amp; Window" sheetId="4" state="visible" r:id="rId6"/>
    <sheet name="Validation Rules" sheetId="5" state="visible" r:id="rId7"/>
    <sheet name="Integrations" sheetId="6" state="visible" r:id="rId8"/>
    <sheet name="Audit Trail" sheetId="7" state="visible" r:id="rId9"/>
  </sheets>
  <definedNames>
    <definedName function="false" hidden="true" localSheetId="6" name="_xlnm._FilterDatabase" vbProcedure="false">'Audit Trail'!$A$1:$J$6</definedName>
    <definedName function="false" hidden="true" localSheetId="5" name="_xlnm._FilterDatabase" vbProcedure="false">Integrations!$A$1:$J$8</definedName>
    <definedName function="false" hidden="true" localSheetId="3" name="_xlnm._FilterDatabase" vbProcedure="false">'Machine Binding &amp; Window'!$A$1:$J$11</definedName>
    <definedName function="false" hidden="true" localSheetId="2" name="_xlnm._FilterDatabase" vbProcedure="false">'Mobile - Dummy Resource'!$A$1:$J$23</definedName>
    <definedName function="false" hidden="true" localSheetId="4" name="_xlnm._FilterDatabase" vbProcedure="false">'Validation Rules'!$A$1:$J$15</definedName>
    <definedName function="false" hidden="true" localSheetId="1" name="_xlnm._FilterDatabase" vbProcedure="false">'Web - Resource Selection'!$A$1:$J$13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<sst xmlns="http://schemas.openxmlformats.org/spreadsheetml/2006/main" count="782" uniqueCount="469">
  <si>
    <t xml:space="preserve">AgriERP FSCM — Dummy Resource (v2.0)</t>
  </si>
  <si>
    <t xml:space="preserve">Test Case Suite</t>
  </si>
  <si>
    <t xml:space="preserve">Source: AgriERP_FSCM_-_Dummy_Resources_v2.pdf (Version 2.0, Sep 16, 2026)</t>
  </si>
  <si>
    <t xml:space="preserve">Module (Tab)</t>
  </si>
  <si>
    <t xml:space="preserve">Total Test Cases</t>
  </si>
  <si>
    <t xml:space="preserve">High Priority</t>
  </si>
  <si>
    <t xml:space="preserve">Negative Cases</t>
  </si>
  <si>
    <t xml:space="preserve">Covers</t>
  </si>
  <si>
    <t xml:space="preserve">Web - Resource Selection</t>
  </si>
  <si>
    <t xml:space="preserve">Select Resources "+" dropdown, dummy register selection page, filters, chips</t>
  </si>
  <si>
    <t xml:space="preserve">Mobile - Dummy Resource</t>
  </si>
  <si>
    <t xml:space="preserve">Work Order Detail, Add/Update Dummy Resource, No Of Resources, Select Asset, Start/Resume Job, shift edit/delete</t>
  </si>
  <si>
    <t xml:space="preserve">Machine Binding &amp; Window</t>
  </si>
  <si>
    <t xml:space="preserve">Binding window calculation, Bound machine list, blocked selection, headcount-driven re-validation</t>
  </si>
  <si>
    <t xml:space="preserve">Validation Rules</t>
  </si>
  <si>
    <t xml:space="preserve">Mandatory fields, machine binding, headcount update, named-resource availability, dummy asset register, shift deletion, hour calculation</t>
  </si>
  <si>
    <t xml:space="preserve">Integrations</t>
  </si>
  <si>
    <t xml:space="preserve">ERP project posting, Hour Log Adjustment visibility, Spent Hours adjustability</t>
  </si>
  <si>
    <t xml:space="preserve">Audit Trail</t>
  </si>
  <si>
    <t xml:space="preserve">Shift/correction logging with user, timestamp, source, device; Notifications and View All Logs</t>
  </si>
  <si>
    <t xml:space="preserve">TOTAL</t>
  </si>
  <si>
    <t xml:space="preserve">Each tab uses columns: TC ID | Test Scenario | Preconditions | Test Steps | Test Data | Expected Result | Priority | Type | Spec Reference | Status. Status defaults to "Not Executed" — update per run.</t>
  </si>
  <si>
    <t xml:space="preserve">TC ID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</si>
  <si>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</si>
  <si>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</si>
  <si>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</si>
  <si>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</si>
  <si>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</si>
  <si>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</si>
  <si>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Type</t>
  </si>
  <si>
    <t xml:space="preserve">Spec Reference</t>
  </si>
  <si>
    <t xml:space="preserve">Status</t>
  </si>
  <si>
    <t xml:space="preserve">WEB-001</t>
  </si>
  <si>
    <t xml:space="preserve">"+" icon on Select Resources opens the dropdown</t>
  </si>
  <si>
    <t xml:space="preserve">User logged into Farm Web App; on Create/Edit Work Order page with Select Resources section visible</t>
  </si>
  <si>
    <t xml:space="preserve">1. Go to Select Resources section
2. Click the "+" icon</t>
  </si>
  <si>
    <t xml:space="preserve">-</t>
  </si>
  <si>
    <t xml:space="preserve">Dropdown opens with two options: "Add Resource" and "Add Dummy Resource", in the standard AgriERP menu style</t>
  </si>
  <si>
    <t xml:space="preserve">High</t>
  </si>
  <si>
    <t xml:space="preserve">Positive</t>
  </si>
  <si>
    <t xml:space="preserve">Fig 1 - Select Resources dropdown</t>
  </si>
  <si>
    <t xml:space="preserve">Not Executed</t>
  </si>
  <si>
    <t xml:space="preserve">WEB-002</t>
  </si>
  <si>
    <t xml:space="preserve">Selecting "Add Dummy Resource" opens the dummy-filtered selection page</t>
  </si>
  <si>
    <t xml:space="preserve">Select Resources dropdown is open</t>
  </si>
  <si>
    <t xml:space="preserve">1. Click "Add Dummy Resource"</t>
  </si>
  <si>
    <t xml:space="preserve">Dummy register contains: Advanced Operator (DM004), Irrigator (DM002), Irrigator 02 (DM003), Standard Operator (DM001)</t>
  </si>
  <si>
    <t xml:space="preserve">"Add Dummy Resource" page opens; page title states the mode it was opened in; list is filtered to the dummy register only</t>
  </si>
  <si>
    <t xml:space="preserve">Fig 2 - Add Dummy Resource selection page</t>
  </si>
  <si>
    <t xml:space="preserve">WEB-003</t>
  </si>
  <si>
    <t xml:space="preserve">Dummy Resource Yes/No toggle is removed from the selection page</t>
  </si>
  <si>
    <t xml:space="preserve">Add Dummy Resource (or Add Resource) selection page is open</t>
  </si>
  <si>
    <t xml:space="preserve">1. Inspect the selection page for a Yes/No / register toggle</t>
  </si>
  <si>
    <t xml:space="preserve">No Dummy Resource Yes/No toggle is present; a selection cannot be switched between registers halfway through</t>
  </si>
  <si>
    <t xml:space="preserve">Medium</t>
  </si>
  <si>
    <t xml:space="preserve">Negative</t>
  </si>
  <si>
    <t xml:space="preserve">Fig 2 caption; Solution Overview</t>
  </si>
  <si>
    <t xml:space="preserve">WEB-004</t>
  </si>
  <si>
    <t xml:space="preserve">Resource Group filter narrows the dummy list</t>
  </si>
  <si>
    <t xml:space="preserve">Add Dummy Resource page open with Resource Group defaulted to "All"</t>
  </si>
  <si>
    <t xml:space="preserve">1. Open Resource Group dropdown
2. Select a specific group
3. Click Apply</t>
  </si>
  <si>
    <t xml:space="preserve">Resource Group = a valid group value</t>
  </si>
  <si>
    <t xml:space="preserve">List refreshes to show only resources belonging to the selected group</t>
  </si>
  <si>
    <t xml:space="preserve">Fig 2 - Resource Group filter</t>
  </si>
  <si>
    <t xml:space="preserve">WEB-005</t>
  </si>
  <si>
    <t xml:space="preserve">Search by Resource Name filter works on the dummy list</t>
  </si>
  <si>
    <t xml:space="preserve">Add Dummy Resource page open</t>
  </si>
  <si>
    <t xml:space="preserve">1. Type a resource name into "Search by Resource Name"
2. Click Apply</t>
  </si>
  <si>
    <t xml:space="preserve">Search text = "Irrigator"</t>
  </si>
  <si>
    <t xml:space="preserve">List filters to resource(s) whose name matches "Irrigator" (e.g. Irrigator, Irrigator 02)</t>
  </si>
  <si>
    <t xml:space="preserve">Fig 2 - Search by Resource Name</t>
  </si>
  <si>
    <t xml:space="preserve">WEB-006</t>
  </si>
  <si>
    <t xml:space="preserve">Search by Company Name filter works on the dummy list</t>
  </si>
  <si>
    <t xml:space="preserve">1. Type a company name into "Search by Company Name"
2. Click Apply</t>
  </si>
  <si>
    <t xml:space="preserve">Search text = a known company name</t>
  </si>
  <si>
    <t xml:space="preserve">List filters to resource(s) tied to the matching company</t>
  </si>
  <si>
    <t xml:space="preserve">Low</t>
  </si>
  <si>
    <t xml:space="preserve">Fig 2 - Search by Company Name</t>
  </si>
  <si>
    <t xml:space="preserve">WEB-007</t>
  </si>
  <si>
    <t xml:space="preserve">Reset clears all applied filters</t>
  </si>
  <si>
    <t xml:space="preserve">One or more filters applied on Add Dummy Resource page</t>
  </si>
  <si>
    <t xml:space="preserve">1. Apply Resource Group / Name / Company filters
2. Click Reset</t>
  </si>
  <si>
    <t xml:space="preserve">All filters clear and the full dummy resource list is restored</t>
  </si>
  <si>
    <t xml:space="preserve">Fig 2 - Reset / Apply buttons</t>
  </si>
  <si>
    <t xml:space="preserve">WEB-008</t>
  </si>
  <si>
    <t xml:space="preserve">Resources already on the work order show the yellow "Dummy Resource" chip</t>
  </si>
  <si>
    <t xml:space="preserve">At least one dummy resource already added to the work order</t>
  </si>
  <si>
    <t xml:space="preserve">1. Open Select Resources grid</t>
  </si>
  <si>
    <t xml:space="preserve">Resource Name column</t>
  </si>
  <si>
    <t xml:space="preserve">Each dummy resource row displays a yellow "DUMMY RESOURCE" chip next to its name</t>
  </si>
  <si>
    <t xml:space="preserve">Fig 1 - Dummy Resource chip</t>
  </si>
  <si>
    <t xml:space="preserve">WEB-009</t>
  </si>
  <si>
    <t xml:space="preserve">"Add Resource" opens the named/actual resource register, not the dummy one</t>
  </si>
  <si>
    <t xml:space="preserve">1. Click "+"
2. Click "Add Resource"</t>
  </si>
  <si>
    <t xml:space="preserve">Selection page opens filtered to named/actual resources; no DUMMY chip shown on any row</t>
  </si>
  <si>
    <t xml:space="preserve">Fig 1 - Add Resource option</t>
  </si>
  <si>
    <t xml:space="preserve">WEB-010</t>
  </si>
  <si>
    <t xml:space="preserve">Register cannot be changed mid-selection (dummy vs. named)</t>
  </si>
  <si>
    <t xml:space="preserve">A selection page (Add Resource or Add Dummy Resource) is open with the toggle removed</t>
  </si>
  <si>
    <t xml:space="preserve">1. Attempt to switch the open selection page from dummy to named register (or vice versa) without closing it</t>
  </si>
  <si>
    <t xml:space="preserve">No in-page control exists to switch register; user must cancel and reopen via the correct "+" dropdown option</t>
  </si>
  <si>
    <t xml:space="preserve">Solution Overview - toggle removed</t>
  </si>
  <si>
    <t xml:space="preserve">WEB-011</t>
  </si>
  <si>
    <t xml:space="preserve">Multiple dummy resources can be selected and saved in one pass</t>
  </si>
  <si>
    <t xml:space="preserve">1. Tick checkboxes for two or more dummy resources (e.g. Advanced Operator, Irrigator)
2. Click Save</t>
  </si>
  <si>
    <t xml:space="preserve">Advanced Operator (DM004), Irrigator (DM002)</t>
  </si>
  <si>
    <t xml:space="preserve">Both selected dummy resources are added to the work order's Select Resources grid, each with the yellow chip</t>
  </si>
  <si>
    <t xml:space="preserve">Fig 1 / Fig 2</t>
  </si>
  <si>
    <t xml:space="preserve">WEB-012</t>
  </si>
  <si>
    <t xml:space="preserve">Dummy resources are maintained as flagged master data in Resource Management</t>
  </si>
  <si>
    <t xml:space="preserve">User has access to Resource Management on the Web App</t>
  </si>
  <si>
    <t xml:space="preserve">1. Open Resource Management
2. Locate a resource flagged as dummy</t>
  </si>
  <si>
    <t xml:space="preserve">Resource is stored as master data and flagged as a dummy record; it is selectable onto work orders exactly like a named resource</t>
  </si>
  <si>
    <t xml:space="preserve">Dummy Resource Management section</t>
  </si>
  <si>
    <t xml:space="preserve">MOB-001</t>
  </si>
  <si>
    <t xml:space="preserve">Work Order Detail screen renders one card per plot with swipe hint</t>
  </si>
  <si>
    <t xml:space="preserve">Supervisor logged into Farm Mobile App with an assigned work order containing plots</t>
  </si>
  <si>
    <t xml:space="preserve">1. Open the assigned work order</t>
  </si>
  <si>
    <t xml:space="preserve">WO-1198, 5 plots, 883.0 ac total</t>
  </si>
  <si>
    <t xml:space="preserve">Each plot card shows Field, Area, and Status; hint text reads "Swipe a plot left for job actions, right to add or update dummy resources."</t>
  </si>
  <si>
    <t xml:space="preserve">Fig 3 - Work Order Detail</t>
  </si>
  <si>
    <t xml:space="preserve">MOB-002</t>
  </si>
  <si>
    <t xml:space="preserve">Swipe left on a plot card reveals job actions</t>
  </si>
  <si>
    <t xml:space="preserve">Work Order Detail screen open</t>
  </si>
  <si>
    <t xml:space="preserve">1. Swipe a plot card left</t>
  </si>
  <si>
    <t xml:space="preserve">Job action menu appears with Start Job, Edit, Resume, and Pause</t>
  </si>
  <si>
    <t xml:space="preserve">AgriERP Mob section</t>
  </si>
  <si>
    <t xml:space="preserve">MOB-003</t>
  </si>
  <si>
    <t xml:space="preserve">Swipe right on a plot card reveals dummy-resource actions</t>
  </si>
  <si>
    <t xml:space="preserve">Work Order Detail screen open, any plot regardless of shift status</t>
  </si>
  <si>
    <t xml:space="preserve">1. Swipe a plot card right</t>
  </si>
  <si>
    <t xml:space="preserve">"Add / Update Dummy Resource" and "Add Resources" options appear and are available whether or not a shift has run</t>
  </si>
  <si>
    <t xml:space="preserve">Fig 4 - Swipe right</t>
  </si>
  <si>
    <t xml:space="preserve">MOB-004</t>
  </si>
  <si>
    <t xml:space="preserve">Empty state is shown when a plot has no dummy resource logs</t>
  </si>
  <si>
    <t xml:space="preserve">Plot with zero shifts logged</t>
  </si>
  <si>
    <t xml:space="preserve">1. Swipe plot right
2. Tap "Add / Update Dummy Resource"</t>
  </si>
  <si>
    <t xml:space="preserve">Screen shows "Total Hours Logged: 0h", "Resource 0h + Machine / Implement 0h", and "No dummy resource logs on this plot yet — tap + to add one."</t>
  </si>
  <si>
    <t xml:space="preserve">Fig 5 - Empty state</t>
  </si>
  <si>
    <t xml:space="preserve">MOB-005</t>
  </si>
  <si>
    <t xml:space="preserve">"+" on Dummy Resources opens the operation's dummy resource list</t>
  </si>
  <si>
    <t xml:space="preserve">Dummy Resources screen open for a plot</t>
  </si>
  <si>
    <t xml:space="preserve">1. Tap "+"</t>
  </si>
  <si>
    <t xml:space="preserve">Advanced Operator Group (000874), Standard Operator (00001487)</t>
  </si>
  <si>
    <t xml:space="preserve">"Add Dummy Resource" list opens, fetched from the Operation, tagged DUMMY; named app users are not shown in this list</t>
  </si>
  <si>
    <t xml:space="preserve">Fig 7 - Add Dummy Resource</t>
  </si>
  <si>
    <t xml:space="preserve">MOB-006</t>
  </si>
  <si>
    <t xml:space="preserve">Multiple dummy resources can be multi-selected in one pass</t>
  </si>
  <si>
    <t xml:space="preserve">Add Dummy Resource list open</t>
  </si>
  <si>
    <t xml:space="preserve">1. Tap two or more resource rows</t>
  </si>
  <si>
    <t xml:space="preserve">Advanced Operator Group, Standard Operator</t>
  </si>
  <si>
    <t xml:space="preserve">Each tapped row shows a checkmark; "Done" becomes active once at least one row is ticked (stays inactive with none ticked)</t>
  </si>
  <si>
    <t xml:space="preserve">Fig 8 - Multi-select</t>
  </si>
  <si>
    <t xml:space="preserve">MOB-007</t>
  </si>
  <si>
    <t xml:space="preserve">No Of Resources screen presents one mandatory field per selected resource</t>
  </si>
  <si>
    <t xml:space="preserve">Resources selected on Add Dummy Resource and Done tapped</t>
  </si>
  <si>
    <t xml:space="preserve">1. Tap Done on Add Dummy Resource</t>
  </si>
  <si>
    <t xml:space="preserve">"No Of Resources" screen shows one "Enter Number Of Resources" field per selected resource, with the hint "Enter how many resources each dummy resource stands in for."</t>
  </si>
  <si>
    <t xml:space="preserve">Fig 9 - No Of Resources</t>
  </si>
  <si>
    <t xml:space="preserve">MOB-008</t>
  </si>
  <si>
    <t xml:space="preserve">No. of Resources is mandatory and must be greater than zero</t>
  </si>
  <si>
    <t xml:space="preserve">No Of Resources screen open</t>
  </si>
  <si>
    <t xml:space="preserve">1. Leave a resource's field blank (or enter 0)
2. Attempt to proceed / Start Job</t>
  </si>
  <si>
    <t xml:space="preserve">No. of Resources = blank or 0</t>
  </si>
  <si>
    <t xml:space="preserve">System blocks save / Start Job until No. of Resources is filled and greater than zero</t>
  </si>
  <si>
    <t xml:space="preserve">Validation Rules - Mandatory Fields</t>
  </si>
  <si>
    <t xml:space="preserve">MOB-009</t>
  </si>
  <si>
    <t xml:space="preserve">Select Asset shows one row per selected resource</t>
  </si>
  <si>
    <t xml:space="preserve">No Of Resources confirmed</t>
  </si>
  <si>
    <t xml:space="preserve">1. Proceed to Select Asset</t>
  </si>
  <si>
    <t xml:space="preserve">One row per resource is listed, each tagged DUMMY, each opening to attach a machine or implement to that resource</t>
  </si>
  <si>
    <t xml:space="preserve">Fig 10 - Select Asset</t>
  </si>
  <si>
    <t xml:space="preserve">MOB-010</t>
  </si>
  <si>
    <t xml:space="preserve">Add Machine / Add Dummy Machine sheet appears when the register holds dummy assets of that kind</t>
  </si>
  <si>
    <t xml:space="preserve">A resource row is opened from Select Asset; asset register holds at least one dummy machine</t>
  </si>
  <si>
    <t xml:space="preserve">1. Tap a resource row
2. Tap "+" on Select Machine</t>
  </si>
  <si>
    <t xml:space="preserve">Bottom sheet "Choose an option" appears with "Add Machine" (machines/equipment on the asset register) and "Add Dummy Machine" (placeholder machine with a quantity)</t>
  </si>
  <si>
    <t xml:space="preserve">Fig 11 - Add Machine / Add Dummy Machine</t>
  </si>
  <si>
    <t xml:space="preserve">MOB-011</t>
  </si>
  <si>
    <t xml:space="preserve">Selection page opens directly when the register holds no dummy assets of that kind</t>
  </si>
  <si>
    <t xml:space="preserve">Asset type (e.g. implement) register holds zero dummy assets</t>
  </si>
  <si>
    <t xml:space="preserve">1. Tap a resource row
2. Tap "+" on Select Implement</t>
  </si>
  <si>
    <t xml:space="preserve">Implements register (no dummy implements today)</t>
  </si>
  <si>
    <t xml:space="preserve">The selection page opens directly with no intermediate "Choose an option" sheet</t>
  </si>
  <si>
    <t xml:space="preserve">Fig 11 caption; Dummy Asset Register Validation</t>
  </si>
  <si>
    <t xml:space="preserve">MOB-012</t>
  </si>
  <si>
    <t xml:space="preserve">Selecting a machine ticks it and confirms via Done</t>
  </si>
  <si>
    <t xml:space="preserve">Select Machine list open, machine not currently bound</t>
  </si>
  <si>
    <t xml:space="preserve">1. Tap a machine row
2. Tap Done</t>
  </si>
  <si>
    <t xml:space="preserve">2000 JD 5510 Tractor Loader (T82)</t>
  </si>
  <si>
    <t xml:space="preserve">Toast confirms "&lt;Machine&gt; added — select it and tap Done to set the quantity"; machine appears ticked; Done confirms the attachment</t>
  </si>
  <si>
    <t xml:space="preserve">Fig 12 - Select Machine</t>
  </si>
  <si>
    <t xml:space="preserve">MOB-013</t>
  </si>
  <si>
    <t xml:space="preserve">Summary screen reflects plot, resources, headcount, assets, and derived estimated hours</t>
  </si>
  <si>
    <t xml:space="preserve">Assets confirmed for all selected resources</t>
  </si>
  <si>
    <t xml:space="preserve">1. Proceed to Summary</t>
  </si>
  <si>
    <t xml:space="preserve">WO-1198, Plot 342 (PRJ_000128), Advanced Operator Group (2), Standard Operator (1), Asset 1997 JD 7800 Tractor</t>
  </si>
  <si>
    <t xml:space="preserve">Summary shows the plot, attached assets, each resource with its headcount, and Estimated Hours computed from the headcount (e.g. 19.65)</t>
  </si>
  <si>
    <t xml:space="preserve">Fig 13 - Summary</t>
  </si>
  <si>
    <t xml:space="preserve">MOB-014</t>
  </si>
  <si>
    <t xml:space="preserve">Start Job creates the shift and writes machine bindings</t>
  </si>
  <si>
    <t xml:space="preserve">Summary screen open, ready to start</t>
  </si>
  <si>
    <t xml:space="preserve">1. Tap "Start Job"</t>
  </si>
  <si>
    <t xml:space="preserve">A shift is created against the plot with its start time, resources, headcount, and machine bindings; plot status changes to "In Progress"</t>
  </si>
  <si>
    <t xml:space="preserve">Fig 14 - In Progress</t>
  </si>
  <si>
    <t xml:space="preserve">MOB-015</t>
  </si>
  <si>
    <t xml:space="preserve">Plot card shows accumulated hours and shift count once In Progress</t>
  </si>
  <si>
    <t xml:space="preserve">At least one shift started on the plot</t>
  </si>
  <si>
    <t xml:space="preserve">1. Return to Work Order Detail</t>
  </si>
  <si>
    <t xml:space="preserve">Shift 1 = 10h</t>
  </si>
  <si>
    <t xml:space="preserve">Plot card shows status "In Progress" and a line "Total Hours Logged: 10h · 1 shift"</t>
  </si>
  <si>
    <t xml:space="preserve">MOB-016</t>
  </si>
  <si>
    <t xml:space="preserve">Resume Job appends a new shift without replacing the earlier one</t>
  </si>
  <si>
    <t xml:space="preserve">Plot already has one completed/paused shift</t>
  </si>
  <si>
    <t xml:space="preserve">1. Swipe plot left
2. Tap Resume Job
3. Complete the same Start Job flow</t>
  </si>
  <si>
    <t xml:space="preserve">Second shift with its own resources/headcount/machines</t>
  </si>
  <si>
    <t xml:space="preserve">A second shift is appended; plot remains "In Progress"; hours from the new shift are added to the plot total; the earlier shift is retained, unmodified</t>
  </si>
  <si>
    <t xml:space="preserve">Important Point - Resume Job and Shifts</t>
  </si>
  <si>
    <t xml:space="preserve">MOB-017</t>
  </si>
  <si>
    <t xml:space="preserve">Dummy Resources list shows full shift detail</t>
  </si>
  <si>
    <t xml:space="preserve">Plot has at least one logged shift</t>
  </si>
  <si>
    <t xml:space="preserve">Shift 1: started 02:00 PM, machines bound to 06:00 PM, Advanced Operator Group 2 res / 4h + Machine 1997 JD 7800 Tractor (T72) 4h, Standard Operator 1 res / 2h</t>
  </si>
  <si>
    <t xml:space="preserve">Screen shows Shift 1 with source tag (Mobile), total 10h, start time, bound-to time, per-resource headcount and hours, attached machine, and plot totals "Resource 6h + Machine / Implement 4h"</t>
  </si>
  <si>
    <t xml:space="preserve">Fig 6 - Dummy Resources, one shift</t>
  </si>
  <si>
    <t xml:space="preserve">MOB-018</t>
  </si>
  <si>
    <t xml:space="preserve">Pencil icon opens No Of Resources to correct a logged shift</t>
  </si>
  <si>
    <t xml:space="preserve">Logged shift exists on the plot</t>
  </si>
  <si>
    <t xml:space="preserve">1. Tap the pencil icon on a shift</t>
  </si>
  <si>
    <t xml:space="preserve">Change Standard Operator from 1 to 2</t>
  </si>
  <si>
    <t xml:space="preserve">No Of Resources screen opens for that shift; changing the headcount recalculates the hours logged and the machine binding window</t>
  </si>
  <si>
    <t xml:space="preserve">Important Point - Correcting and Deleting a Shift</t>
  </si>
  <si>
    <t xml:space="preserve">MOB-019</t>
  </si>
  <si>
    <t xml:space="preserve">A single resource can be removed from a shift without deleting the shift</t>
  </si>
  <si>
    <t xml:space="preserve">Shift has 2+ resources</t>
  </si>
  <si>
    <t xml:space="preserve">1. Open the shift for editing
2. Tap "Remove" on one resource</t>
  </si>
  <si>
    <t xml:space="preserve">The removed resource (and its headcount/hours/machine) is taken off the shift; remaining resources and the shift itself are unaffected</t>
  </si>
  <si>
    <t xml:space="preserve">MOB-020</t>
  </si>
  <si>
    <t xml:space="preserve">Bin icon deletes the whole shift</t>
  </si>
  <si>
    <t xml:space="preserve">1. Tap the bin icon on a shift
2. Confirm deletion</t>
  </si>
  <si>
    <t xml:space="preserve">The shift is deleted; its hours and machine bindings are removed from the plot total</t>
  </si>
  <si>
    <t xml:space="preserve">Fig 6 caption; Important Points</t>
  </si>
  <si>
    <t xml:space="preserve">MOB-021</t>
  </si>
  <si>
    <t xml:space="preserve">Deleting the last resource of a shift deletes the shift</t>
  </si>
  <si>
    <t xml:space="preserve">Shift has exactly one resource remaining</t>
  </si>
  <si>
    <t xml:space="preserve">1. Remove the last remaining resource from the shift</t>
  </si>
  <si>
    <t xml:space="preserve">The shift itself is deleted along with its hours and machine bindings, since no resource remains on it</t>
  </si>
  <si>
    <t xml:space="preserve">MOB-022</t>
  </si>
  <si>
    <t xml:space="preserve">Pause / Stop stops the running job on a plot</t>
  </si>
  <si>
    <t xml:space="preserve">Plot is "In Progress" with an active shift</t>
  </si>
  <si>
    <t xml:space="preserve">1. Swipe plot left
2. Tap Pause (or Stop)</t>
  </si>
  <si>
    <t xml:space="preserve">Job stops running on the plot; the logged shift(s) and their hours remain recorded against the plot</t>
  </si>
  <si>
    <t xml:space="preserve">Field Supervisor User Journey step 23</t>
  </si>
  <si>
    <t xml:space="preserve">BIND-001</t>
  </si>
  <si>
    <t xml:space="preserve">Machine binding window is derived from shift start time and planned hours</t>
  </si>
  <si>
    <t xml:space="preserve">Dummy resource shift being started</t>
  </si>
  <si>
    <t xml:space="preserve">1. Start a shift with 1 resource at Standard Hours = 2h, starting 02:00 PM</t>
  </si>
  <si>
    <t xml:space="preserve">Start 02:00 PM, Standard Hours 2h, No. of Resources 1 → Hours logged 1×2=2h</t>
  </si>
  <si>
    <t xml:space="preserve">Machine binding window is calculated as 02:00 PM – 04:00 PM (start time to start time + hours logged)</t>
  </si>
  <si>
    <t xml:space="preserve">Machine Binding &amp; Shift Window table</t>
  </si>
  <si>
    <t xml:space="preserve">BIND-002</t>
  </si>
  <si>
    <t xml:space="preserve">A machine bound for any part of the requested window is greyed out and tagged Bound</t>
  </si>
  <si>
    <t xml:space="preserve">Shift being planned for a window of 02:00 PM – 06:00 PM; another machine already bound within that window</t>
  </si>
  <si>
    <t xml:space="preserve">1. Open Select Machine for the new shift</t>
  </si>
  <si>
    <t xml:space="preserve">1982 Jetco 7337-450 Bucket Wheel Trencher (K43) bound to Irrigator (dummy) 02:00 PM–04:00 PM; 1991 JD 3155 Tractor (T52) bound to Michael Vann 04:00 PM–05:00 PM</t>
  </si>
  <si>
    <t xml:space="preserve">Both machines are greyed out with a red "Bound" tag and show the resource and time window they are bound for; banner reads "This shift runs 02:00 PM – 06:00 PM. A machine already bound for any part of that window cannot be selected."</t>
  </si>
  <si>
    <t xml:space="preserve">Fig 15 - Bound machines</t>
  </si>
  <si>
    <t xml:space="preserve">BIND-003</t>
  </si>
  <si>
    <t xml:space="preserve">Selecting a Bound machine is blocked with an inline error</t>
  </si>
  <si>
    <t xml:space="preserve">A Bound machine is visible in the Select Machine list</t>
  </si>
  <si>
    <t xml:space="preserve">1. Tap the greyed-out Bound machine row</t>
  </si>
  <si>
    <t xml:space="preserve">1982 Jetco 7337-450 Bucket Wheel Trencher, bound to Irrigator 02:00 PM–04:00 PM</t>
  </si>
  <si>
    <t xml:space="preserve">Selection is refused; error message shown: "1982 Jetco 7337-450 Bucket Wheel Trencher is already bound to Irrigator from 02:00 PM to 04:00 PM."</t>
  </si>
  <si>
    <t xml:space="preserve">Fig 16 - Blocked selection</t>
  </si>
  <si>
    <t xml:space="preserve">BIND-004</t>
  </si>
  <si>
    <t xml:space="preserve">A machine with no conflicting window can be selected normally</t>
  </si>
  <si>
    <t xml:space="preserve">Machine has no binding overlapping the requested shift window</t>
  </si>
  <si>
    <t xml:space="preserve">1. Open Select Machine
2. Select an unbound machine</t>
  </si>
  <si>
    <t xml:space="preserve">1993-98 Cat 950F Series II Wheel Loader (K41)</t>
  </si>
  <si>
    <t xml:space="preserve">Machine is selectable (not greyed out), gets ticked, and is confirmed with Done</t>
  </si>
  <si>
    <t xml:space="preserve">Fig 15 - unbound rows</t>
  </si>
  <si>
    <t xml:space="preserve">BIND-005</t>
  </si>
  <si>
    <t xml:space="preserve">Raising No. of Resources on an existing shift extends hours and the binding window end time</t>
  </si>
  <si>
    <t xml:space="preserve">Shift already started with a machine bound</t>
  </si>
  <si>
    <t xml:space="preserve">1. Open the shift via pencil
2. Increase No. of Resources</t>
  </si>
  <si>
    <t xml:space="preserve">Standard Hours 2h/resource; headcount raised from 1 to 2</t>
  </si>
  <si>
    <t xml:space="preserve">Hours logged increases (e.g. 2h → 4h) and the machine binding window end time is extended accordingly</t>
  </si>
  <si>
    <t xml:space="preserve">Text under Fig 16 - Raising No. of Resources</t>
  </si>
  <si>
    <t xml:space="preserve">BIND-006</t>
  </si>
  <si>
    <t xml:space="preserve">Headcount increase re-validates the machine only over the newly claimed (extra) time</t>
  </si>
  <si>
    <t xml:space="preserve">Headcount increase pending save on a shift with a bound machine</t>
  </si>
  <si>
    <t xml:space="preserve">1. Increase headcount so the window extends
2. Attempt to Save</t>
  </si>
  <si>
    <t xml:space="preserve">Original window 02:00 PM–04:00 PM extended to 02:00 PM–06:00 PM (extra = 04:00 PM–06:00 PM)</t>
  </si>
  <si>
    <t xml:space="preserve">System checks machine availability specifically over the extra 04:00 PM–06:00 PM window before allowing Save</t>
  </si>
  <si>
    <t xml:space="preserve">Headcount Update Validation</t>
  </si>
  <si>
    <t xml:space="preserve">BIND-007</t>
  </si>
  <si>
    <t xml:space="preserve">Headcount increase is blocked when the machine was used by an actual (named) resource during the extra time</t>
  </si>
  <si>
    <t xml:space="preserve">Extra time window overlaps a machine binding already used by a named resource on the same work order</t>
  </si>
  <si>
    <t xml:space="preserve">1. Increase headcount so the window extends into the named resource's binding
2. Attempt to Save</t>
  </si>
  <si>
    <t xml:space="preserve">Extra window overlaps an actual resource's use of the same machine</t>
  </si>
  <si>
    <t xml:space="preserve">Update is blocked; Save stays disabled until the headcount is reduced or the machine is freed; validation message is shown</t>
  </si>
  <si>
    <t xml:space="preserve">BIND-008</t>
  </si>
  <si>
    <t xml:space="preserve">Headcount increase succeeds when the machine is free during the extra time</t>
  </si>
  <si>
    <t xml:space="preserve">Extra time window has no conflicting binding</t>
  </si>
  <si>
    <t xml:space="preserve">1. Increase headcount
2. Save</t>
  </si>
  <si>
    <t xml:space="preserve">Extra window is free</t>
  </si>
  <si>
    <t xml:space="preserve">Save succeeds; hours logged and the machine binding window are recalculated and persisted</t>
  </si>
  <si>
    <t xml:space="preserve">BIND-009</t>
  </si>
  <si>
    <t xml:space="preserve">Both dummy and named resources may work with either an actual or a dummy machine</t>
  </si>
  <si>
    <t xml:space="preserve">Resource being attached to an asset</t>
  </si>
  <si>
    <t xml:space="preserve">1. Attach a dummy machine to a named resource
2. Attach an actual machine to a dummy resource</t>
  </si>
  <si>
    <t xml:space="preserve">Both combinations (dummy resource + actual machine; named resource + dummy machine) are permitted</t>
  </si>
  <si>
    <t xml:space="preserve">Solution Overview; Business Cases</t>
  </si>
  <si>
    <t xml:space="preserve">BIND-010</t>
  </si>
  <si>
    <t xml:space="preserve">An actual machine is unavailable to any other crew for the whole bound window</t>
  </si>
  <si>
    <t xml:space="preserve">Machine bound to a resource for a given shift window</t>
  </si>
  <si>
    <t xml:space="preserve">1. Attempt to select the same machine on a different work order/shift whose window overlaps</t>
  </si>
  <si>
    <t xml:space="preserve">Machine bound 02:00 PM–04:00 PM</t>
  </si>
  <si>
    <t xml:space="preserve">The machine is shown as Bound with the resource and time it is bound for, and cannot be double-linked during that window</t>
  </si>
  <si>
    <t xml:space="preserve">VAL-001</t>
  </si>
  <si>
    <t xml:space="preserve">No. of Resources is mandatory and must be greater than zero (Web &amp; Mobile)</t>
  </si>
  <si>
    <t xml:space="preserve">Adding/starting a dummy resource on a work order</t>
  </si>
  <si>
    <t xml:space="preserve">1. Attempt to save the work order or start a job with No. of Resources blank or 0</t>
  </si>
  <si>
    <t xml:space="preserve">No. of Resources = blank / 0</t>
  </si>
  <si>
    <t xml:space="preserve">System blocks the save / Start Job action until No. of Resources is filled and greater than zero; machine/implement attachment remains optional</t>
  </si>
  <si>
    <t xml:space="preserve">Validation Rules - Mandatory Fields Validation</t>
  </si>
  <si>
    <t xml:space="preserve">VAL-002</t>
  </si>
  <si>
    <t xml:space="preserve">Machine already bound for any part of a shift window cannot be selected</t>
  </si>
  <si>
    <t xml:space="preserve">Shift window overlaps an existing machine binding</t>
  </si>
  <si>
    <t xml:space="preserve">1. Open Select Machine for the new/edited shift
2. Attempt to select the conflicting machine</t>
  </si>
  <si>
    <t xml:space="preserve">The row is greyed out and cannot be selected; machine remains bound to the original resource for the whole shift window</t>
  </si>
  <si>
    <t xml:space="preserve">Validation Rules - Machine Binding Validation</t>
  </si>
  <si>
    <t xml:space="preserve">VAL-003</t>
  </si>
  <si>
    <t xml:space="preserve">Headcount increase is re-validated and blocked on conflict with an actual resource</t>
  </si>
  <si>
    <t xml:space="preserve">Existing shift's headcount is raised, extending the binding window</t>
  </si>
  <si>
    <t xml:space="preserve">1. Raise No. of Resources on a logged shift
2. Attempt to Save</t>
  </si>
  <si>
    <t xml:space="preserve">Extra time overlaps an actual resource's use of the same machine</t>
  </si>
  <si>
    <t xml:space="preserve">System re-validates the machine only over the extra time claimed; update is blocked and a validation message is shown when conflicted</t>
  </si>
  <si>
    <t xml:space="preserve">Validation Rules - Headcount Update Validation</t>
  </si>
  <si>
    <t xml:space="preserve">VAL-004</t>
  </si>
  <si>
    <t xml:space="preserve">A named resource already on a running job cannot be selected again</t>
  </si>
  <si>
    <t xml:space="preserve">Named resource is currently working an active (unpaused) job</t>
  </si>
  <si>
    <t xml:space="preserve">1. Attempt to select that named resource on another shift/work order</t>
  </si>
  <si>
    <t xml:space="preserve">Named resource actively running a job on Plot X</t>
  </si>
  <si>
    <t xml:space="preserve">Row shows "Already working on &lt;plot&gt;"; tapping the row raises an error and the selection is refused</t>
  </si>
  <si>
    <t xml:space="preserve">Validation Rules - Named Resource Availability Validation</t>
  </si>
  <si>
    <t xml:space="preserve">VAL-005</t>
  </si>
  <si>
    <t xml:space="preserve">Dummy resources are never blocked by a running job</t>
  </si>
  <si>
    <t xml:space="preserve">Dummy resource already has an active running shift elsewhere</t>
  </si>
  <si>
    <t xml:space="preserve">1. Attempt to select the same dummy resource on another shift/work order</t>
  </si>
  <si>
    <t xml:space="preserve">Dummy resource with an active shift</t>
  </si>
  <si>
    <t xml:space="preserve">Selection succeeds; dummy resources represent a headcount, not a person, and are not restricted by a running job</t>
  </si>
  <si>
    <t xml:space="preserve">VAL-006</t>
  </si>
  <si>
    <t xml:space="preserve">Add Machine / Add Dummy Machine choice is shown only when the register holds a dummy asset of that kind</t>
  </si>
  <si>
    <t xml:space="preserve">Asset register for the selected type (machine/implement) holds ≥1 dummy asset</t>
  </si>
  <si>
    <t xml:space="preserve">1. Open Select Asset for a resource
2. Tap "+" on the asset list</t>
  </si>
  <si>
    <t xml:space="preserve">Machine register contains at least one dummy machine</t>
  </si>
  <si>
    <t xml:space="preserve">The "Choose an option" sheet (Add Machine / Add Dummy Machine) is shown</t>
  </si>
  <si>
    <t xml:space="preserve">Validation Rules - Dummy Asset Register Validation</t>
  </si>
  <si>
    <t xml:space="preserve">VAL-007</t>
  </si>
  <si>
    <t xml:space="preserve">Selection page opens directly when the register holds no dummy asset of that kind</t>
  </si>
  <si>
    <t xml:space="preserve">Asset register for the selected type holds zero dummy assets</t>
  </si>
  <si>
    <t xml:space="preserve">Implement register with no dummy implements</t>
  </si>
  <si>
    <t xml:space="preserve">The selection page opens directly with no intermediate choice sheet</t>
  </si>
  <si>
    <t xml:space="preserve">VAL-008</t>
  </si>
  <si>
    <t xml:space="preserve">Both dummy and named resources may select from either asset register</t>
  </si>
  <si>
    <t xml:space="preserve">Any resource being attached to an asset</t>
  </si>
  <si>
    <t xml:space="preserve">1. Attach an actual-register asset and a dummy-register asset to different resources on the same shift</t>
  </si>
  <si>
    <t xml:space="preserve">Both dummy and named resources can select machines/implements from either the actual or the dummy register</t>
  </si>
  <si>
    <t xml:space="preserve">VAL-009</t>
  </si>
  <si>
    <t xml:space="preserve">Deleting a shift removes its hours and machine bindings from the plot total</t>
  </si>
  <si>
    <t xml:space="preserve">Logged shift exists on an open (not completed) work order</t>
  </si>
  <si>
    <t xml:space="preserve">1. Delete the shift via the bin icon</t>
  </si>
  <si>
    <t xml:space="preserve">Shift's hours and machine bindings are removed from the plot total</t>
  </si>
  <si>
    <t xml:space="preserve">Validation Rules - Shift Deletion Validation</t>
  </si>
  <si>
    <t xml:space="preserve">VAL-010</t>
  </si>
  <si>
    <t xml:space="preserve">Removing the last resource of a shift deletes the shift</t>
  </si>
  <si>
    <t xml:space="preserve">Shift has exactly one resource</t>
  </si>
  <si>
    <t xml:space="preserve">1. Remove that resource</t>
  </si>
  <si>
    <t xml:space="preserve">The shift itself is deleted since no resource remains on it</t>
  </si>
  <si>
    <t xml:space="preserve">VAL-011</t>
  </si>
  <si>
    <t xml:space="preserve">Shift/resource deletion is blocked once the work order is completed and hours are posted</t>
  </si>
  <si>
    <t xml:space="preserve">Work order is Completed and hours have been posted</t>
  </si>
  <si>
    <t xml:space="preserve">1. Attempt to delete a shift or a resource on a completed work order</t>
  </si>
  <si>
    <t xml:space="preserve">Deletion is not allowed; the action is blocked</t>
  </si>
  <si>
    <t xml:space="preserve">VAL-012</t>
  </si>
  <si>
    <t xml:space="preserve">Hours logged equal No. of Resources × Standard Hours and are read-only</t>
  </si>
  <si>
    <t xml:space="preserve">Dummy resource shift with a set headcount and Standard Hours</t>
  </si>
  <si>
    <t xml:space="preserve">1. Inspect the Hours Logged field for the resource</t>
  </si>
  <si>
    <t xml:space="preserve">No. of Resources = 2, Standard Hours = 2h → Hours Logged = 4h</t>
  </si>
  <si>
    <t xml:space="preserve">Hours Logged = No. of Resources × Standard Hours; field cannot be manually edited in the field</t>
  </si>
  <si>
    <t xml:space="preserve">Validation Rules - Hour Calculation Validation</t>
  </si>
  <si>
    <t xml:space="preserve">VAL-013</t>
  </si>
  <si>
    <t xml:space="preserve">Machine/implement hours equal the hours of the resource they are attached to</t>
  </si>
  <si>
    <t xml:space="preserve">Machine/implement attached to a dummy resource with logged hours</t>
  </si>
  <si>
    <t xml:space="preserve">1. Inspect the machine/implement's logged hours</t>
  </si>
  <si>
    <t xml:space="preserve">Resource hours = 4h</t>
  </si>
  <si>
    <t xml:space="preserve">Machine/implement hours = 4h (same as the resource it is attached to)</t>
  </si>
  <si>
    <t xml:space="preserve">VAL-014</t>
  </si>
  <si>
    <t xml:space="preserve">Plot total equals the sum of resource hours and machine/implement hours</t>
  </si>
  <si>
    <t xml:space="preserve">Shift with resource hours and machine hours logged</t>
  </si>
  <si>
    <t xml:space="preserve">1. Inspect the plot's Total Hours Logged</t>
  </si>
  <si>
    <t xml:space="preserve">Resource 6h + Machine/Implement 4h</t>
  </si>
  <si>
    <t xml:space="preserve">Total Hours Logged on the plot = 10h (sum of resource and machine/implement hours)</t>
  </si>
  <si>
    <t xml:space="preserve">Validation Rules - Hour Calculation Validation; Fig 6</t>
  </si>
  <si>
    <t xml:space="preserve">INT-001</t>
  </si>
  <si>
    <t xml:space="preserve">Dummy resource hours post to the ERP project like a named resource's hours</t>
  </si>
  <si>
    <t xml:space="preserve">Work order/plot linked to an ERP project; dummy resource hours logged</t>
  </si>
  <si>
    <t xml:space="preserve">1. Complete a shift with logged hours
2. Check ERP project posting</t>
  </si>
  <si>
    <t xml:space="preserve">Hours logged against the dummy resource, and the machine/implement hours that follow them, post to the ERP project of the work order the same way named-resource hours do</t>
  </si>
  <si>
    <t xml:space="preserve">Integration with ERP</t>
  </si>
  <si>
    <t xml:space="preserve">INT-002</t>
  </si>
  <si>
    <t xml:space="preserve">Posting is restricted when the work order/plot has no ERP project linkage</t>
  </si>
  <si>
    <t xml:space="preserve">Work order or its plot is NOT associated with an ERP project</t>
  </si>
  <si>
    <t xml:space="preserve">1. Attempt to post dummy resource hours</t>
  </si>
  <si>
    <t xml:space="preserve">Posting is restricted until the ERP project linkage is completed</t>
  </si>
  <si>
    <t xml:space="preserve">INT-003</t>
  </si>
  <si>
    <t xml:space="preserve">Corrections made before completion are re-posted to ERP</t>
  </si>
  <si>
    <t xml:space="preserve">Work order not yet completed; hours already posted once</t>
  </si>
  <si>
    <t xml:space="preserve">1. Correct a shift's headcount/hours
2. Check ERP posting</t>
  </si>
  <si>
    <t xml:space="preserve">The corrected hours are re-posted against the ERP project</t>
  </si>
  <si>
    <t xml:space="preserve">INT-004</t>
  </si>
  <si>
    <t xml:space="preserve">Hours become read-only after work order completion</t>
  </si>
  <si>
    <t xml:space="preserve">Work order is completed and hours posted</t>
  </si>
  <si>
    <t xml:space="preserve">1. Attempt to edit or delete a dummy resource shift/hours</t>
  </si>
  <si>
    <t xml:space="preserve">Hours are read-only; no further edits or deletions are possible</t>
  </si>
  <si>
    <t xml:space="preserve">INT-005</t>
  </si>
  <si>
    <t xml:space="preserve">System-generated dummy resource logs appear on Hour Log Adjustment with headcount and standard hours</t>
  </si>
  <si>
    <t xml:space="preserve">Dummy resource hours logged on a work order</t>
  </si>
  <si>
    <t xml:space="preserve">1. Open the Hour Log Adjustment screen</t>
  </si>
  <si>
    <t xml:space="preserve">Dummy resource logs are visible with their headcount and standard hours</t>
  </si>
  <si>
    <t xml:space="preserve">Integration with Hour Log Adjustment</t>
  </si>
  <si>
    <t xml:space="preserve">INT-006</t>
  </si>
  <si>
    <t xml:space="preserve">Dummy resource hours are visible with source, device, and user on Web resource list, Spent Hours, and WO logs</t>
  </si>
  <si>
    <t xml:space="preserve">Dummy resource hours logged from Web or Mobile</t>
  </si>
  <si>
    <t xml:space="preserve">1. Open the work order resource list
2. Open Spent Hours
3. Open work order logs</t>
  </si>
  <si>
    <t xml:space="preserve">Hours are visible in all three places, each showing the source (Web or Mobile), the device, and the user who logged them</t>
  </si>
  <si>
    <t xml:space="preserve">Dummy Resource Management</t>
  </si>
  <si>
    <t xml:space="preserve">INT-007</t>
  </si>
  <si>
    <t xml:space="preserve">Dummy resource hours remain adjustable from Spent Hours until the work order is completed</t>
  </si>
  <si>
    <t xml:space="preserve">Work order not yet completed</t>
  </si>
  <si>
    <t xml:space="preserve">1. Open Spent Hours
2. Adjust a dummy resource's hours</t>
  </si>
  <si>
    <t xml:space="preserve">Adjustment is permitted while the work order remains open (not yet completed)</t>
  </si>
  <si>
    <t xml:space="preserve">Solution Overview</t>
  </si>
  <si>
    <t xml:space="preserve">AUD-001</t>
  </si>
  <si>
    <t xml:space="preserve">Shift creation is logged with user, timestamp, source, and device</t>
  </si>
  <si>
    <t xml:space="preserve">A new shift is started (Start Job)</t>
  </si>
  <si>
    <t xml:space="preserve">1. Start a job creating a shift
2. Open the audit / notifications log</t>
  </si>
  <si>
    <t xml:space="preserve">A log entry records the user, timestamp, source (Web or Mobile), and device for the shift creation</t>
  </si>
  <si>
    <t xml:space="preserve">Dummy Resource Audit Trail Logs</t>
  </si>
  <si>
    <t xml:space="preserve">AUD-002</t>
  </si>
  <si>
    <t xml:space="preserve">Shift corrections are logged with user, timestamp, source, and device</t>
  </si>
  <si>
    <t xml:space="preserve">An existing shift's headcount is changed, a resource removed, or the shift deleted</t>
  </si>
  <si>
    <t xml:space="preserve">1. Correct or delete a shift
2. Open the audit / notifications log</t>
  </si>
  <si>
    <t xml:space="preserve">A log entry records the correction with the user, timestamp, source, and device</t>
  </si>
  <si>
    <t xml:space="preserve">AUD-003</t>
  </si>
  <si>
    <t xml:space="preserve">Audit entries are viewable inside Notifications</t>
  </si>
  <si>
    <t xml:space="preserve">At least one shift or correction has been logged</t>
  </si>
  <si>
    <t xml:space="preserve">1. Open Notifications</t>
  </si>
  <si>
    <t xml:space="preserve">The relevant shift/correction entries appear in Notifications</t>
  </si>
  <si>
    <t xml:space="preserve">AUD-004</t>
  </si>
  <si>
    <t xml:space="preserve">Audit entries are viewable inside "View All Logs"</t>
  </si>
  <si>
    <t xml:space="preserve">1. Open "View all logs" screen</t>
  </si>
  <si>
    <t xml:space="preserve">The relevant shift/correction entries appear in the full logs view</t>
  </si>
  <si>
    <t xml:space="preserve">AUD-005</t>
  </si>
  <si>
    <t xml:space="preserve">Updated By and Updated Date/Time populate correctly after an edit</t>
  </si>
  <si>
    <t xml:space="preserve">A shift or headcount has just been edited</t>
  </si>
  <si>
    <t xml:space="preserve">1. Edit a shift
2. Inspect Updated By / Updated Date/Time fields</t>
  </si>
  <si>
    <t xml:space="preserve">Updated By shows the editing user; Updated Date/Time shows the date and time of the change, per the Data Dictionary</t>
  </si>
  <si>
    <t xml:space="preserve">Data Dictionary - Updated By / Updated Date-Time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</si>
</sst>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2"/>
      <color rgb="FF40404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455A64"/>
      </patternFill>
    </fill>
    <fill>
      <patternFill patternType="solid">
        <fgColor rgb="FFF7F9FC"/>
        <bgColor rgb="FFFFFFFF"/>
      </patternFill>
    </fill>
    <fill>
      <patternFill patternType="solid">
        <fgColor rgb="FFD9E2F3"/>
        <bgColor rgb="FFD9D9D9"/>
      </patternFill>
    </fill>
    <fill>
      <patternFill patternType="solid">
        <fgColor rgb="FFFCE4E4"/>
        <bgColor rgb="FFFDEAEA"/>
      </patternFill>
    </fill>
    <fill>
      <patternFill patternType="solid">
        <fgColor rgb="FFE6F4EA"/>
        <bgColor rgb="FFE8F0FE"/>
      </patternFill>
    </fill>
    <fill>
      <patternFill patternType="solid">
        <fgColor rgb="FFFFF4E0"/>
        <bgColor rgb="FFFDEAEA"/>
      </patternFill>
    </fill>
    <fill>
      <patternFill patternType="solid">
        <fgColor rgb="FFFDEAEA"/>
        <bgColor rgb="FFFCE4E4"/>
      </patternFill>
    </fill>
    <fill>
      <patternFill patternType="solid">
        <fgColor rgb="FFE8F0FE"/>
        <bgColor rgb="FFE6F4EA"/>
      </patternFill>
    </fill>
    <fill>
      <patternFill patternType="solid">
        <fgColor rgb="FF2E7D32"/>
        <bgColor rgb="FF008000"/>
      </patternFill>
    </fill>
    <fill>
      <patternFill patternType="solid">
        <fgColor rgb="FFB45F06"/>
        <bgColor rgb="FFFF6600"/>
      </patternFill>
    </fill>
    <fill>
      <patternFill patternType="solid">
        <fgColor rgb="FF8E24AA"/>
        <bgColor rgb="FF993366"/>
      </patternFill>
    </fill>
    <fill>
      <patternFill patternType="solid">
        <fgColor rgb="FFC62828"/>
        <bgColor rgb="FF993366"/>
      </patternFill>
    </fill>
    <fill>
      <patternFill patternType="solid">
        <fgColor rgb="FF455A64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DEAEA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B45F06"/>
          <bgColor rgb="FF000000"/>
        </patternFill>
      </fill>
    </dxf>
    <dxf>
      <fill>
        <patternFill patternType="solid">
          <fgColor rgb="FF8E24AA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455A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F06"/>
      <rgbColor rgb="FF800080"/>
      <rgbColor rgb="FF008080"/>
      <rgbColor rgb="FFF7F9FC"/>
      <rgbColor rgb="FF808080"/>
      <rgbColor rgb="FF9999FF"/>
      <rgbColor rgb="FF8E24AA"/>
      <rgbColor rgb="FFFFF4E0"/>
      <rgbColor rgb="FFE6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D9E2F3"/>
      <rgbColor rgb="FFFDEAEA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455A64"/>
      <rgbColor rgb="FF969696"/>
      <rgbColor rgb="FF003366"/>
      <rgbColor rgb="FF2E7D32"/>
      <rgbColor rgb="FF003300"/>
      <rgbColor rgb="FF333300"/>
      <rgbColor rgb="FFC62828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5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23.85" hidden="false" customHeight="false" outlineLevel="0" collapsed="false">
      <c r="A6" s="5" t="s">
        <v>8</v>
      </c>
      <c r="B6" s="6" t="n">
        <f aca="false">COUNTA('Web - Resource Selection'!A2:A13)</f>
        <v>12</v>
      </c>
      <c r="C6" s="6" t="n">
        <f aca="false">COUNTIF('Web - Resource Selection'!G2:G13,"High")</f>
        <v>4</v>
      </c>
      <c r="D6" s="6" t="n">
        <f aca="false">COUNTIF('Web - Resource Selection'!H2:H13,"Negative")</f>
        <v>2</v>
      </c>
      <c r="E6" s="7" t="s">
        <v>9</v>
      </c>
    </row>
    <row r="7" customFormat="false" ht="23.85" hidden="false" customHeight="false" outlineLevel="0" collapsed="false">
      <c r="A7" s="8" t="s">
        <v>10</v>
      </c>
      <c r="B7" s="9" t="n">
        <f aca="false">COUNTA('Mobile - Dummy Resource'!A2:A23)</f>
        <v>22</v>
      </c>
      <c r="C7" s="9" t="n">
        <f aca="false">COUNTIF('Mobile - Dummy Resource'!G2:G23,"High")</f>
        <v>12</v>
      </c>
      <c r="D7" s="9" t="n">
        <f aca="false">COUNTIF('Mobile - Dummy Resource'!H2:H23,"Negative")</f>
        <v>1</v>
      </c>
      <c r="E7" s="10" t="s">
        <v>11</v>
      </c>
    </row>
    <row r="8" customFormat="false" ht="23.85" hidden="false" customHeight="false" outlineLevel="0" collapsed="false">
      <c r="A8" s="5" t="s">
        <v>12</v>
      </c>
      <c r="B8" s="6" t="n">
        <f aca="false">COUNTA('Machine Binding &amp; Window'!A2:A11)</f>
        <v>10</v>
      </c>
      <c r="C8" s="6" t="n">
        <f aca="false">COUNTIF('Machine Binding &amp; Window'!G2:G11,"High")</f>
        <v>7</v>
      </c>
      <c r="D8" s="6" t="n">
        <f aca="false">COUNTIF('Machine Binding &amp; Window'!H2:H11,"Negative")</f>
        <v>3</v>
      </c>
      <c r="E8" s="7" t="s">
        <v>13</v>
      </c>
    </row>
    <row r="9" customFormat="false" ht="35.05" hidden="false" customHeight="false" outlineLevel="0" collapsed="false">
      <c r="A9" s="8" t="s">
        <v>14</v>
      </c>
      <c r="B9" s="9" t="n">
        <f aca="false">COUNTA('Validation Rules'!A2:A15)</f>
        <v>14</v>
      </c>
      <c r="C9" s="9" t="n">
        <f aca="false">COUNTIF('Validation Rules'!G2:G15,"High")</f>
        <v>10</v>
      </c>
      <c r="D9" s="9" t="n">
        <f aca="false">COUNTIF('Validation Rules'!H2:H15,"Negative")</f>
        <v>5</v>
      </c>
      <c r="E9" s="10" t="s">
        <v>15</v>
      </c>
    </row>
    <row r="10" customFormat="false" ht="23.85" hidden="false" customHeight="false" outlineLevel="0" collapsed="false">
      <c r="A10" s="5" t="s">
        <v>16</v>
      </c>
      <c r="B10" s="6" t="n">
        <f aca="false">COUNTA(Integrations!A2:A8)</f>
        <v>7</v>
      </c>
      <c r="C10" s="6" t="n">
        <f aca="false">COUNTIF(Integrations!G2:G8,"High")</f>
        <v>3</v>
      </c>
      <c r="D10" s="6" t="n">
        <f aca="false">COUNTIF(Integrations!H2:H8,"Negative")</f>
        <v>2</v>
      </c>
      <c r="E10" s="7" t="s">
        <v>17</v>
      </c>
    </row>
    <row r="11" customFormat="false" ht="23.85" hidden="false" customHeight="false" outlineLevel="0" collapsed="false">
      <c r="A11" s="8" t="s">
        <v>18</v>
      </c>
      <c r="B11" s="9" t="n">
        <f aca="false">COUNTA('Audit Trail'!A2:A6)</f>
        <v>5</v>
      </c>
      <c r="C11" s="9" t="n">
        <f aca="false">COUNTIF('Audit Trail'!G2:G6,"High")</f>
        <v>0</v>
      </c>
      <c r="D11" s="9" t="n">
        <f aca="false">COUNTIF('Audit Trail'!H2:H6,"Negative")</f>
        <v>0</v>
      </c>
      <c r="E11" s="10" t="s">
        <v>19</v>
      </c>
    </row>
    <row r="12" customFormat="false" ht="15" hidden="false" customHeight="false" outlineLevel="0" collapsed="false">
      <c r="A12" s="11" t="s">
        <v>20</v>
      </c>
      <c r="B12" s="12" t="n">
        <f aca="false">SUM(B6:B11)</f>
        <v>70</v>
      </c>
      <c r="C12" s="12" t="n">
        <f aca="false">SUM(C6:C11)</f>
        <v>36</v>
      </c>
      <c r="D12" s="12" t="n">
        <f aca="false">SUM(D6:D11)</f>
        <v>13</v>
      </c>
      <c r="E12" s="11"/>
    </row>
    <row r="14" customFormat="false" ht="27.75" hidden="false" customHeight="true" outlineLevel="0" collapsed="false">
      <c r="A14" s="13" t="s">
        <v>21</v>
      </c>
      <c r="B14" s="13"/>
      <c r="C14" s="13"/>
      <c r="D14" s="13"/>
      <c r="E14" s="13"/>
    </row>
  </sheetData>
  <mergeCells count="1"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8" min="7" style="0" width="10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</row>
    <row r="2" customFormat="false" ht="57.75" hidden="false" customHeight="true" outlineLevel="0" collapsed="false">
      <c r="A2" s="14" t="s">
        <v>32</v>
      </c>
      <c r="B2" s="15" t="s">
        <v>33</v>
      </c>
      <c r="C2" s="15" t="s">
        <v>34</v>
      </c>
      <c r="D2" s="15" t="s">
        <v>35</v>
      </c>
      <c r="E2" s="15" t="s">
        <v>36</v>
      </c>
      <c r="F2" s="15" t="s">
        <v>37</v>
      </c>
      <c r="G2" s="16" t="s">
        <v>38</v>
      </c>
      <c r="H2" s="17" t="s">
        <v>39</v>
      </c>
      <c r="I2" s="15" t="s">
        <v>40</v>
      </c>
      <c r="J2" s="18" t="s">
        <v>41</v>
      </c>
    </row>
    <row r="3" customFormat="false" ht="57.75" hidden="false" customHeight="true" outlineLevel="0" collapsed="false">
      <c r="A3" s="19" t="s">
        <v>42</v>
      </c>
      <c r="B3" s="20" t="s">
        <v>43</v>
      </c>
      <c r="C3" s="20" t="s">
        <v>44</v>
      </c>
      <c r="D3" s="20" t="s">
        <v>45</v>
      </c>
      <c r="E3" s="20" t="s">
        <v>46</v>
      </c>
      <c r="F3" s="20" t="s">
        <v>47</v>
      </c>
      <c r="G3" s="16" t="s">
        <v>38</v>
      </c>
      <c r="H3" s="17" t="s">
        <v>39</v>
      </c>
      <c r="I3" s="20" t="s">
        <v>48</v>
      </c>
      <c r="J3" s="21" t="s">
        <v>41</v>
      </c>
    </row>
    <row r="4" customFormat="false" ht="57.75" hidden="false" customHeight="true" outlineLevel="0" collapsed="false">
      <c r="A4" s="14" t="s">
        <v>49</v>
      </c>
      <c r="B4" s="15" t="s">
        <v>50</v>
      </c>
      <c r="C4" s="15" t="s">
        <v>51</v>
      </c>
      <c r="D4" s="15" t="s">
        <v>52</v>
      </c>
      <c r="E4" s="15" t="s">
        <v>36</v>
      </c>
      <c r="F4" s="15" t="s">
        <v>53</v>
      </c>
      <c r="G4" s="22" t="s">
        <v>54</v>
      </c>
      <c r="H4" s="23" t="s">
        <v>55</v>
      </c>
      <c r="I4" s="15" t="s">
        <v>56</v>
      </c>
      <c r="J4" s="18" t="s">
        <v>41</v>
      </c>
    </row>
    <row r="5" customFormat="false" ht="57.75" hidden="false" customHeight="true" outlineLevel="0" collapsed="false">
      <c r="A5" s="19" t="s">
        <v>57</v>
      </c>
      <c r="B5" s="20" t="s">
        <v>58</v>
      </c>
      <c r="C5" s="20" t="s">
        <v>59</v>
      </c>
      <c r="D5" s="20" t="s">
        <v>60</v>
      </c>
      <c r="E5" s="20" t="s">
        <v>61</v>
      </c>
      <c r="F5" s="20" t="s">
        <v>62</v>
      </c>
      <c r="G5" s="22" t="s">
        <v>54</v>
      </c>
      <c r="H5" s="17" t="s">
        <v>39</v>
      </c>
      <c r="I5" s="20" t="s">
        <v>63</v>
      </c>
      <c r="J5" s="21" t="s">
        <v>41</v>
      </c>
    </row>
    <row r="6" customFormat="false" ht="57.75" hidden="false" customHeight="true" outlineLevel="0" collapsed="false">
      <c r="A6" s="14" t="s">
        <v>64</v>
      </c>
      <c r="B6" s="15" t="s">
        <v>65</v>
      </c>
      <c r="C6" s="15" t="s">
        <v>66</v>
      </c>
      <c r="D6" s="15" t="s">
        <v>67</v>
      </c>
      <c r="E6" s="15" t="s">
        <v>68</v>
      </c>
      <c r="F6" s="15" t="s">
        <v>69</v>
      </c>
      <c r="G6" s="22" t="s">
        <v>54</v>
      </c>
      <c r="H6" s="17" t="s">
        <v>39</v>
      </c>
      <c r="I6" s="15" t="s">
        <v>70</v>
      </c>
      <c r="J6" s="18" t="s">
        <v>41</v>
      </c>
    </row>
    <row r="7" customFormat="false" ht="57.75" hidden="false" customHeight="true" outlineLevel="0" collapsed="false">
      <c r="A7" s="19" t="s">
        <v>71</v>
      </c>
      <c r="B7" s="20" t="s">
        <v>72</v>
      </c>
      <c r="C7" s="20" t="s">
        <v>66</v>
      </c>
      <c r="D7" s="20" t="s">
        <v>73</v>
      </c>
      <c r="E7" s="20" t="s">
        <v>74</v>
      </c>
      <c r="F7" s="20" t="s">
        <v>75</v>
      </c>
      <c r="G7" s="24" t="s">
        <v>76</v>
      </c>
      <c r="H7" s="17" t="s">
        <v>39</v>
      </c>
      <c r="I7" s="20" t="s">
        <v>77</v>
      </c>
      <c r="J7" s="21" t="s">
        <v>41</v>
      </c>
    </row>
    <row r="8" customFormat="false" ht="57.75" hidden="false" customHeight="true" outlineLevel="0" collapsed="false">
      <c r="A8" s="14" t="s">
        <v>78</v>
      </c>
      <c r="B8" s="15" t="s">
        <v>79</v>
      </c>
      <c r="C8" s="15" t="s">
        <v>80</v>
      </c>
      <c r="D8" s="15" t="s">
        <v>81</v>
      </c>
      <c r="E8" s="15" t="s">
        <v>36</v>
      </c>
      <c r="F8" s="15" t="s">
        <v>82</v>
      </c>
      <c r="G8" s="24" t="s">
        <v>76</v>
      </c>
      <c r="H8" s="17" t="s">
        <v>39</v>
      </c>
      <c r="I8" s="15" t="s">
        <v>83</v>
      </c>
      <c r="J8" s="18" t="s">
        <v>41</v>
      </c>
    </row>
    <row r="9" customFormat="false" ht="57.75" hidden="false" customHeight="true" outlineLevel="0" collapsed="false">
      <c r="A9" s="19" t="s">
        <v>84</v>
      </c>
      <c r="B9" s="20" t="s">
        <v>85</v>
      </c>
      <c r="C9" s="20" t="s">
        <v>86</v>
      </c>
      <c r="D9" s="20" t="s">
        <v>87</v>
      </c>
      <c r="E9" s="20" t="s">
        <v>88</v>
      </c>
      <c r="F9" s="20" t="s">
        <v>89</v>
      </c>
      <c r="G9" s="22" t="s">
        <v>54</v>
      </c>
      <c r="H9" s="17" t="s">
        <v>39</v>
      </c>
      <c r="I9" s="20" t="s">
        <v>90</v>
      </c>
      <c r="J9" s="21" t="s">
        <v>41</v>
      </c>
    </row>
    <row r="10" customFormat="false" ht="57.75" hidden="false" customHeight="true" outlineLevel="0" collapsed="false">
      <c r="A10" s="14" t="s">
        <v>91</v>
      </c>
      <c r="B10" s="15" t="s">
        <v>92</v>
      </c>
      <c r="C10" s="15" t="s">
        <v>44</v>
      </c>
      <c r="D10" s="15" t="s">
        <v>93</v>
      </c>
      <c r="E10" s="15" t="s">
        <v>36</v>
      </c>
      <c r="F10" s="15" t="s">
        <v>94</v>
      </c>
      <c r="G10" s="16" t="s">
        <v>38</v>
      </c>
      <c r="H10" s="17" t="s">
        <v>39</v>
      </c>
      <c r="I10" s="15" t="s">
        <v>95</v>
      </c>
      <c r="J10" s="18" t="s">
        <v>41</v>
      </c>
    </row>
    <row r="11" customFormat="false" ht="57.75" hidden="false" customHeight="true" outlineLevel="0" collapsed="false">
      <c r="A11" s="19" t="s">
        <v>96</v>
      </c>
      <c r="B11" s="20" t="s">
        <v>97</v>
      </c>
      <c r="C11" s="20" t="s">
        <v>98</v>
      </c>
      <c r="D11" s="20" t="s">
        <v>99</v>
      </c>
      <c r="E11" s="20" t="s">
        <v>36</v>
      </c>
      <c r="F11" s="20" t="s">
        <v>100</v>
      </c>
      <c r="G11" s="22" t="s">
        <v>54</v>
      </c>
      <c r="H11" s="23" t="s">
        <v>55</v>
      </c>
      <c r="I11" s="20" t="s">
        <v>101</v>
      </c>
      <c r="J11" s="21" t="s">
        <v>41</v>
      </c>
    </row>
    <row r="12" customFormat="false" ht="57.75" hidden="false" customHeight="true" outlineLevel="0" collapsed="false">
      <c r="A12" s="14" t="s">
        <v>102</v>
      </c>
      <c r="B12" s="15" t="s">
        <v>103</v>
      </c>
      <c r="C12" s="15" t="s">
        <v>66</v>
      </c>
      <c r="D12" s="15" t="s">
        <v>104</v>
      </c>
      <c r="E12" s="15" t="s">
        <v>105</v>
      </c>
      <c r="F12" s="15" t="s">
        <v>106</v>
      </c>
      <c r="G12" s="16" t="s">
        <v>38</v>
      </c>
      <c r="H12" s="17" t="s">
        <v>39</v>
      </c>
      <c r="I12" s="15" t="s">
        <v>107</v>
      </c>
      <c r="J12" s="18" t="s">
        <v>41</v>
      </c>
    </row>
    <row r="13" customFormat="false" ht="57.75" hidden="false" customHeight="true" outlineLevel="0" collapsed="false">
      <c r="A13" s="19" t="s">
        <v>108</v>
      </c>
      <c r="B13" s="20" t="s">
        <v>109</v>
      </c>
      <c r="C13" s="20" t="s">
        <v>110</v>
      </c>
      <c r="D13" s="20" t="s">
        <v>111</v>
      </c>
      <c r="E13" s="20" t="s">
        <v>36</v>
      </c>
      <c r="F13" s="20" t="s">
        <v>112</v>
      </c>
      <c r="G13" s="22" t="s">
        <v>54</v>
      </c>
      <c r="H13" s="17" t="s">
        <v>39</v>
      </c>
      <c r="I13" s="20" t="s">
        <v>113</v>
      </c>
      <c r="J13" s="21" t="s">
        <v>41</v>
      </c>
    </row>
  </sheetData>
  <autoFilter ref="A1:J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8" min="7" style="0" width="10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25" t="s">
        <v>22</v>
      </c>
      <c r="B1" s="25" t="s">
        <v>23</v>
      </c>
      <c r="C1" s="25" t="s">
        <v>24</v>
      </c>
      <c r="D1" s="25" t="s">
        <v>25</v>
      </c>
      <c r="E1" s="25" t="s">
        <v>26</v>
      </c>
      <c r="F1" s="25" t="s">
        <v>27</v>
      </c>
      <c r="G1" s="25" t="s">
        <v>28</v>
      </c>
      <c r="H1" s="25" t="s">
        <v>29</v>
      </c>
      <c r="I1" s="25" t="s">
        <v>30</v>
      </c>
      <c r="J1" s="25" t="s">
        <v>31</v>
      </c>
    </row>
    <row r="2" customFormat="false" ht="57.75" hidden="false" customHeight="true" outlineLevel="0" collapsed="false">
      <c r="A2" s="14" t="s">
        <v>114</v>
      </c>
      <c r="B2" s="15" t="s">
        <v>115</v>
      </c>
      <c r="C2" s="15" t="s">
        <v>116</v>
      </c>
      <c r="D2" s="15" t="s">
        <v>117</v>
      </c>
      <c r="E2" s="15" t="s">
        <v>118</v>
      </c>
      <c r="F2" s="15" t="s">
        <v>119</v>
      </c>
      <c r="G2" s="22" t="s">
        <v>54</v>
      </c>
      <c r="H2" s="17" t="s">
        <v>39</v>
      </c>
      <c r="I2" s="15" t="s">
        <v>120</v>
      </c>
      <c r="J2" s="18" t="s">
        <v>41</v>
      </c>
    </row>
    <row r="3" customFormat="false" ht="57.75" hidden="false" customHeight="true" outlineLevel="0" collapsed="false">
      <c r="A3" s="19" t="s">
        <v>121</v>
      </c>
      <c r="B3" s="20" t="s">
        <v>122</v>
      </c>
      <c r="C3" s="20" t="s">
        <v>123</v>
      </c>
      <c r="D3" s="20" t="s">
        <v>124</v>
      </c>
      <c r="E3" s="20" t="s">
        <v>36</v>
      </c>
      <c r="F3" s="20" t="s">
        <v>125</v>
      </c>
      <c r="G3" s="16" t="s">
        <v>38</v>
      </c>
      <c r="H3" s="17" t="s">
        <v>39</v>
      </c>
      <c r="I3" s="20" t="s">
        <v>126</v>
      </c>
      <c r="J3" s="21" t="s">
        <v>41</v>
      </c>
    </row>
    <row r="4" customFormat="false" ht="57.75" hidden="false" customHeight="true" outlineLevel="0" collapsed="false">
      <c r="A4" s="14" t="s">
        <v>127</v>
      </c>
      <c r="B4" s="15" t="s">
        <v>128</v>
      </c>
      <c r="C4" s="15" t="s">
        <v>129</v>
      </c>
      <c r="D4" s="15" t="s">
        <v>130</v>
      </c>
      <c r="E4" s="15" t="s">
        <v>36</v>
      </c>
      <c r="F4" s="15" t="s">
        <v>131</v>
      </c>
      <c r="G4" s="16" t="s">
        <v>38</v>
      </c>
      <c r="H4" s="17" t="s">
        <v>39</v>
      </c>
      <c r="I4" s="15" t="s">
        <v>132</v>
      </c>
      <c r="J4" s="18" t="s">
        <v>41</v>
      </c>
    </row>
    <row r="5" customFormat="false" ht="57.75" hidden="false" customHeight="true" outlineLevel="0" collapsed="false">
      <c r="A5" s="19" t="s">
        <v>133</v>
      </c>
      <c r="B5" s="20" t="s">
        <v>134</v>
      </c>
      <c r="C5" s="20" t="s">
        <v>135</v>
      </c>
      <c r="D5" s="20" t="s">
        <v>136</v>
      </c>
      <c r="E5" s="20" t="s">
        <v>36</v>
      </c>
      <c r="F5" s="20" t="s">
        <v>137</v>
      </c>
      <c r="G5" s="22" t="s">
        <v>54</v>
      </c>
      <c r="H5" s="17" t="s">
        <v>39</v>
      </c>
      <c r="I5" s="20" t="s">
        <v>138</v>
      </c>
      <c r="J5" s="21" t="s">
        <v>41</v>
      </c>
    </row>
    <row r="6" customFormat="false" ht="57.75" hidden="false" customHeight="true" outlineLevel="0" collapsed="false">
      <c r="A6" s="14" t="s">
        <v>139</v>
      </c>
      <c r="B6" s="15" t="s">
        <v>140</v>
      </c>
      <c r="C6" s="15" t="s">
        <v>141</v>
      </c>
      <c r="D6" s="15" t="s">
        <v>142</v>
      </c>
      <c r="E6" s="15" t="s">
        <v>143</v>
      </c>
      <c r="F6" s="15" t="s">
        <v>144</v>
      </c>
      <c r="G6" s="16" t="s">
        <v>38</v>
      </c>
      <c r="H6" s="17" t="s">
        <v>39</v>
      </c>
      <c r="I6" s="15" t="s">
        <v>145</v>
      </c>
      <c r="J6" s="18" t="s">
        <v>41</v>
      </c>
    </row>
    <row r="7" customFormat="false" ht="57.75" hidden="false" customHeight="true" outlineLevel="0" collapsed="false">
      <c r="A7" s="19" t="s">
        <v>146</v>
      </c>
      <c r="B7" s="20" t="s">
        <v>147</v>
      </c>
      <c r="C7" s="20" t="s">
        <v>148</v>
      </c>
      <c r="D7" s="20" t="s">
        <v>149</v>
      </c>
      <c r="E7" s="20" t="s">
        <v>150</v>
      </c>
      <c r="F7" s="20" t="s">
        <v>151</v>
      </c>
      <c r="G7" s="16" t="s">
        <v>38</v>
      </c>
      <c r="H7" s="17" t="s">
        <v>39</v>
      </c>
      <c r="I7" s="20" t="s">
        <v>152</v>
      </c>
      <c r="J7" s="21" t="s">
        <v>41</v>
      </c>
    </row>
    <row r="8" customFormat="false" ht="57.75" hidden="false" customHeight="true" outlineLevel="0" collapsed="false">
      <c r="A8" s="14" t="s">
        <v>153</v>
      </c>
      <c r="B8" s="15" t="s">
        <v>154</v>
      </c>
      <c r="C8" s="15" t="s">
        <v>155</v>
      </c>
      <c r="D8" s="15" t="s">
        <v>156</v>
      </c>
      <c r="E8" s="15" t="s">
        <v>150</v>
      </c>
      <c r="F8" s="15" t="s">
        <v>157</v>
      </c>
      <c r="G8" s="16" t="s">
        <v>38</v>
      </c>
      <c r="H8" s="17" t="s">
        <v>39</v>
      </c>
      <c r="I8" s="15" t="s">
        <v>158</v>
      </c>
      <c r="J8" s="18" t="s">
        <v>41</v>
      </c>
    </row>
    <row r="9" customFormat="false" ht="57.75" hidden="false" customHeight="true" outlineLevel="0" collapsed="false">
      <c r="A9" s="19" t="s">
        <v>159</v>
      </c>
      <c r="B9" s="20" t="s">
        <v>160</v>
      </c>
      <c r="C9" s="20" t="s">
        <v>161</v>
      </c>
      <c r="D9" s="20" t="s">
        <v>162</v>
      </c>
      <c r="E9" s="20" t="s">
        <v>163</v>
      </c>
      <c r="F9" s="20" t="s">
        <v>164</v>
      </c>
      <c r="G9" s="16" t="s">
        <v>38</v>
      </c>
      <c r="H9" s="23" t="s">
        <v>55</v>
      </c>
      <c r="I9" s="20" t="s">
        <v>165</v>
      </c>
      <c r="J9" s="21" t="s">
        <v>41</v>
      </c>
    </row>
    <row r="10" customFormat="false" ht="57.75" hidden="false" customHeight="true" outlineLevel="0" collapsed="false">
      <c r="A10" s="14" t="s">
        <v>166</v>
      </c>
      <c r="B10" s="15" t="s">
        <v>167</v>
      </c>
      <c r="C10" s="15" t="s">
        <v>168</v>
      </c>
      <c r="D10" s="15" t="s">
        <v>169</v>
      </c>
      <c r="E10" s="15" t="s">
        <v>143</v>
      </c>
      <c r="F10" s="15" t="s">
        <v>170</v>
      </c>
      <c r="G10" s="22" t="s">
        <v>54</v>
      </c>
      <c r="H10" s="17" t="s">
        <v>39</v>
      </c>
      <c r="I10" s="15" t="s">
        <v>171</v>
      </c>
      <c r="J10" s="18" t="s">
        <v>41</v>
      </c>
    </row>
    <row r="11" customFormat="false" ht="57.75" hidden="false" customHeight="true" outlineLevel="0" collapsed="false">
      <c r="A11" s="19" t="s">
        <v>172</v>
      </c>
      <c r="B11" s="20" t="s">
        <v>173</v>
      </c>
      <c r="C11" s="20" t="s">
        <v>174</v>
      </c>
      <c r="D11" s="20" t="s">
        <v>175</v>
      </c>
      <c r="E11" s="20" t="s">
        <v>36</v>
      </c>
      <c r="F11" s="20" t="s">
        <v>176</v>
      </c>
      <c r="G11" s="22" t="s">
        <v>54</v>
      </c>
      <c r="H11" s="17" t="s">
        <v>39</v>
      </c>
      <c r="I11" s="20" t="s">
        <v>177</v>
      </c>
      <c r="J11" s="21" t="s">
        <v>41</v>
      </c>
    </row>
    <row r="12" customFormat="false" ht="57.75" hidden="false" customHeight="true" outlineLevel="0" collapsed="false">
      <c r="A12" s="14" t="s">
        <v>178</v>
      </c>
      <c r="B12" s="15" t="s">
        <v>179</v>
      </c>
      <c r="C12" s="15" t="s">
        <v>180</v>
      </c>
      <c r="D12" s="15" t="s">
        <v>181</v>
      </c>
      <c r="E12" s="15" t="s">
        <v>182</v>
      </c>
      <c r="F12" s="15" t="s">
        <v>183</v>
      </c>
      <c r="G12" s="22" t="s">
        <v>54</v>
      </c>
      <c r="H12" s="17" t="s">
        <v>39</v>
      </c>
      <c r="I12" s="15" t="s">
        <v>184</v>
      </c>
      <c r="J12" s="18" t="s">
        <v>41</v>
      </c>
    </row>
    <row r="13" customFormat="false" ht="57.75" hidden="false" customHeight="true" outlineLevel="0" collapsed="false">
      <c r="A13" s="19" t="s">
        <v>185</v>
      </c>
      <c r="B13" s="20" t="s">
        <v>186</v>
      </c>
      <c r="C13" s="20" t="s">
        <v>187</v>
      </c>
      <c r="D13" s="20" t="s">
        <v>188</v>
      </c>
      <c r="E13" s="20" t="s">
        <v>189</v>
      </c>
      <c r="F13" s="20" t="s">
        <v>190</v>
      </c>
      <c r="G13" s="22" t="s">
        <v>54</v>
      </c>
      <c r="H13" s="17" t="s">
        <v>39</v>
      </c>
      <c r="I13" s="20" t="s">
        <v>191</v>
      </c>
      <c r="J13" s="21" t="s">
        <v>41</v>
      </c>
    </row>
    <row r="14" customFormat="false" ht="57.75" hidden="false" customHeight="true" outlineLevel="0" collapsed="false">
      <c r="A14" s="14" t="s">
        <v>192</v>
      </c>
      <c r="B14" s="15" t="s">
        <v>193</v>
      </c>
      <c r="C14" s="15" t="s">
        <v>194</v>
      </c>
      <c r="D14" s="15" t="s">
        <v>195</v>
      </c>
      <c r="E14" s="15" t="s">
        <v>196</v>
      </c>
      <c r="F14" s="15" t="s">
        <v>197</v>
      </c>
      <c r="G14" s="16" t="s">
        <v>38</v>
      </c>
      <c r="H14" s="17" t="s">
        <v>39</v>
      </c>
      <c r="I14" s="15" t="s">
        <v>198</v>
      </c>
      <c r="J14" s="18" t="s">
        <v>41</v>
      </c>
    </row>
    <row r="15" customFormat="false" ht="57.75" hidden="false" customHeight="true" outlineLevel="0" collapsed="false">
      <c r="A15" s="19" t="s">
        <v>199</v>
      </c>
      <c r="B15" s="20" t="s">
        <v>200</v>
      </c>
      <c r="C15" s="20" t="s">
        <v>201</v>
      </c>
      <c r="D15" s="20" t="s">
        <v>202</v>
      </c>
      <c r="E15" s="20" t="s">
        <v>36</v>
      </c>
      <c r="F15" s="20" t="s">
        <v>203</v>
      </c>
      <c r="G15" s="16" t="s">
        <v>38</v>
      </c>
      <c r="H15" s="17" t="s">
        <v>39</v>
      </c>
      <c r="I15" s="20" t="s">
        <v>204</v>
      </c>
      <c r="J15" s="21" t="s">
        <v>41</v>
      </c>
    </row>
    <row r="16" customFormat="false" ht="57.75" hidden="false" customHeight="true" outlineLevel="0" collapsed="false">
      <c r="A16" s="14" t="s">
        <v>205</v>
      </c>
      <c r="B16" s="15" t="s">
        <v>206</v>
      </c>
      <c r="C16" s="15" t="s">
        <v>207</v>
      </c>
      <c r="D16" s="15" t="s">
        <v>208</v>
      </c>
      <c r="E16" s="15" t="s">
        <v>209</v>
      </c>
      <c r="F16" s="15" t="s">
        <v>210</v>
      </c>
      <c r="G16" s="22" t="s">
        <v>54</v>
      </c>
      <c r="H16" s="17" t="s">
        <v>39</v>
      </c>
      <c r="I16" s="15" t="s">
        <v>204</v>
      </c>
      <c r="J16" s="18" t="s">
        <v>41</v>
      </c>
    </row>
    <row r="17" customFormat="false" ht="57.75" hidden="false" customHeight="true" outlineLevel="0" collapsed="false">
      <c r="A17" s="19" t="s">
        <v>211</v>
      </c>
      <c r="B17" s="20" t="s">
        <v>212</v>
      </c>
      <c r="C17" s="20" t="s">
        <v>213</v>
      </c>
      <c r="D17" s="20" t="s">
        <v>214</v>
      </c>
      <c r="E17" s="20" t="s">
        <v>215</v>
      </c>
      <c r="F17" s="20" t="s">
        <v>216</v>
      </c>
      <c r="G17" s="16" t="s">
        <v>38</v>
      </c>
      <c r="H17" s="17" t="s">
        <v>39</v>
      </c>
      <c r="I17" s="20" t="s">
        <v>217</v>
      </c>
      <c r="J17" s="21" t="s">
        <v>41</v>
      </c>
    </row>
    <row r="18" customFormat="false" ht="57.75" hidden="false" customHeight="true" outlineLevel="0" collapsed="false">
      <c r="A18" s="14" t="s">
        <v>218</v>
      </c>
      <c r="B18" s="15" t="s">
        <v>219</v>
      </c>
      <c r="C18" s="15" t="s">
        <v>220</v>
      </c>
      <c r="D18" s="15" t="s">
        <v>136</v>
      </c>
      <c r="E18" s="15" t="s">
        <v>221</v>
      </c>
      <c r="F18" s="15" t="s">
        <v>222</v>
      </c>
      <c r="G18" s="16" t="s">
        <v>38</v>
      </c>
      <c r="H18" s="17" t="s">
        <v>39</v>
      </c>
      <c r="I18" s="15" t="s">
        <v>223</v>
      </c>
      <c r="J18" s="18" t="s">
        <v>41</v>
      </c>
    </row>
    <row r="19" customFormat="false" ht="57.75" hidden="false" customHeight="true" outlineLevel="0" collapsed="false">
      <c r="A19" s="19" t="s">
        <v>224</v>
      </c>
      <c r="B19" s="20" t="s">
        <v>225</v>
      </c>
      <c r="C19" s="20" t="s">
        <v>226</v>
      </c>
      <c r="D19" s="20" t="s">
        <v>227</v>
      </c>
      <c r="E19" s="20" t="s">
        <v>228</v>
      </c>
      <c r="F19" s="20" t="s">
        <v>229</v>
      </c>
      <c r="G19" s="16" t="s">
        <v>38</v>
      </c>
      <c r="H19" s="17" t="s">
        <v>39</v>
      </c>
      <c r="I19" s="20" t="s">
        <v>230</v>
      </c>
      <c r="J19" s="21" t="s">
        <v>41</v>
      </c>
    </row>
    <row r="20" customFormat="false" ht="57.75" hidden="false" customHeight="true" outlineLevel="0" collapsed="false">
      <c r="A20" s="14" t="s">
        <v>231</v>
      </c>
      <c r="B20" s="15" t="s">
        <v>232</v>
      </c>
      <c r="C20" s="15" t="s">
        <v>233</v>
      </c>
      <c r="D20" s="15" t="s">
        <v>234</v>
      </c>
      <c r="E20" s="15" t="s">
        <v>36</v>
      </c>
      <c r="F20" s="15" t="s">
        <v>235</v>
      </c>
      <c r="G20" s="22" t="s">
        <v>54</v>
      </c>
      <c r="H20" s="17" t="s">
        <v>39</v>
      </c>
      <c r="I20" s="15" t="s">
        <v>230</v>
      </c>
      <c r="J20" s="18" t="s">
        <v>41</v>
      </c>
    </row>
    <row r="21" customFormat="false" ht="57.75" hidden="false" customHeight="true" outlineLevel="0" collapsed="false">
      <c r="A21" s="19" t="s">
        <v>236</v>
      </c>
      <c r="B21" s="20" t="s">
        <v>237</v>
      </c>
      <c r="C21" s="20" t="s">
        <v>226</v>
      </c>
      <c r="D21" s="20" t="s">
        <v>238</v>
      </c>
      <c r="E21" s="20" t="s">
        <v>36</v>
      </c>
      <c r="F21" s="20" t="s">
        <v>239</v>
      </c>
      <c r="G21" s="16" t="s">
        <v>38</v>
      </c>
      <c r="H21" s="17" t="s">
        <v>39</v>
      </c>
      <c r="I21" s="20" t="s">
        <v>240</v>
      </c>
      <c r="J21" s="21" t="s">
        <v>41</v>
      </c>
    </row>
    <row r="22" customFormat="false" ht="57.75" hidden="false" customHeight="true" outlineLevel="0" collapsed="false">
      <c r="A22" s="14" t="s">
        <v>241</v>
      </c>
      <c r="B22" s="15" t="s">
        <v>242</v>
      </c>
      <c r="C22" s="15" t="s">
        <v>243</v>
      </c>
      <c r="D22" s="15" t="s">
        <v>244</v>
      </c>
      <c r="E22" s="15" t="s">
        <v>36</v>
      </c>
      <c r="F22" s="15" t="s">
        <v>245</v>
      </c>
      <c r="G22" s="22" t="s">
        <v>54</v>
      </c>
      <c r="H22" s="17" t="s">
        <v>39</v>
      </c>
      <c r="I22" s="15" t="s">
        <v>230</v>
      </c>
      <c r="J22" s="18" t="s">
        <v>41</v>
      </c>
    </row>
    <row r="23" customFormat="false" ht="57.75" hidden="false" customHeight="true" outlineLevel="0" collapsed="false">
      <c r="A23" s="19" t="s">
        <v>246</v>
      </c>
      <c r="B23" s="20" t="s">
        <v>247</v>
      </c>
      <c r="C23" s="20" t="s">
        <v>248</v>
      </c>
      <c r="D23" s="20" t="s">
        <v>249</v>
      </c>
      <c r="E23" s="20" t="s">
        <v>36</v>
      </c>
      <c r="F23" s="20" t="s">
        <v>250</v>
      </c>
      <c r="G23" s="22" t="s">
        <v>54</v>
      </c>
      <c r="H23" s="17" t="s">
        <v>39</v>
      </c>
      <c r="I23" s="20" t="s">
        <v>251</v>
      </c>
      <c r="J23" s="21" t="s">
        <v>41</v>
      </c>
    </row>
  </sheetData>
  <autoFilter ref="A1:J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F06"/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8" min="7" style="0" width="10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26" t="s">
        <v>22</v>
      </c>
      <c r="B1" s="26" t="s">
        <v>23</v>
      </c>
      <c r="C1" s="26" t="s">
        <v>24</v>
      </c>
      <c r="D1" s="26" t="s">
        <v>25</v>
      </c>
      <c r="E1" s="26" t="s">
        <v>26</v>
      </c>
      <c r="F1" s="26" t="s">
        <v>27</v>
      </c>
      <c r="G1" s="26" t="s">
        <v>28</v>
      </c>
      <c r="H1" s="26" t="s">
        <v>29</v>
      </c>
      <c r="I1" s="26" t="s">
        <v>30</v>
      </c>
      <c r="J1" s="26" t="s">
        <v>31</v>
      </c>
    </row>
    <row r="2" customFormat="false" ht="57.75" hidden="false" customHeight="true" outlineLevel="0" collapsed="false">
      <c r="A2" s="14" t="s">
        <v>252</v>
      </c>
      <c r="B2" s="15" t="s">
        <v>253</v>
      </c>
      <c r="C2" s="15" t="s">
        <v>254</v>
      </c>
      <c r="D2" s="15" t="s">
        <v>255</v>
      </c>
      <c r="E2" s="15" t="s">
        <v>256</v>
      </c>
      <c r="F2" s="15" t="s">
        <v>257</v>
      </c>
      <c r="G2" s="16" t="s">
        <v>38</v>
      </c>
      <c r="H2" s="17" t="s">
        <v>39</v>
      </c>
      <c r="I2" s="15" t="s">
        <v>258</v>
      </c>
      <c r="J2" s="18" t="s">
        <v>41</v>
      </c>
    </row>
    <row r="3" customFormat="false" ht="57.75" hidden="false" customHeight="true" outlineLevel="0" collapsed="false">
      <c r="A3" s="19" t="s">
        <v>259</v>
      </c>
      <c r="B3" s="20" t="s">
        <v>260</v>
      </c>
      <c r="C3" s="20" t="s">
        <v>261</v>
      </c>
      <c r="D3" s="20" t="s">
        <v>262</v>
      </c>
      <c r="E3" s="20" t="s">
        <v>263</v>
      </c>
      <c r="F3" s="20" t="s">
        <v>264</v>
      </c>
      <c r="G3" s="16" t="s">
        <v>38</v>
      </c>
      <c r="H3" s="17" t="s">
        <v>39</v>
      </c>
      <c r="I3" s="20" t="s">
        <v>265</v>
      </c>
      <c r="J3" s="21" t="s">
        <v>41</v>
      </c>
    </row>
    <row r="4" customFormat="false" ht="57.75" hidden="false" customHeight="true" outlineLevel="0" collapsed="false">
      <c r="A4" s="14" t="s">
        <v>266</v>
      </c>
      <c r="B4" s="15" t="s">
        <v>267</v>
      </c>
      <c r="C4" s="15" t="s">
        <v>268</v>
      </c>
      <c r="D4" s="15" t="s">
        <v>269</v>
      </c>
      <c r="E4" s="15" t="s">
        <v>270</v>
      </c>
      <c r="F4" s="15" t="s">
        <v>271</v>
      </c>
      <c r="G4" s="16" t="s">
        <v>38</v>
      </c>
      <c r="H4" s="23" t="s">
        <v>55</v>
      </c>
      <c r="I4" s="15" t="s">
        <v>272</v>
      </c>
      <c r="J4" s="18" t="s">
        <v>41</v>
      </c>
    </row>
    <row r="5" customFormat="false" ht="57.75" hidden="false" customHeight="true" outlineLevel="0" collapsed="false">
      <c r="A5" s="19" t="s">
        <v>273</v>
      </c>
      <c r="B5" s="20" t="s">
        <v>274</v>
      </c>
      <c r="C5" s="20" t="s">
        <v>275</v>
      </c>
      <c r="D5" s="20" t="s">
        <v>276</v>
      </c>
      <c r="E5" s="20" t="s">
        <v>277</v>
      </c>
      <c r="F5" s="20" t="s">
        <v>278</v>
      </c>
      <c r="G5" s="22" t="s">
        <v>54</v>
      </c>
      <c r="H5" s="17" t="s">
        <v>39</v>
      </c>
      <c r="I5" s="20" t="s">
        <v>279</v>
      </c>
      <c r="J5" s="21" t="s">
        <v>41</v>
      </c>
    </row>
    <row r="6" customFormat="false" ht="57.75" hidden="false" customHeight="true" outlineLevel="0" collapsed="false">
      <c r="A6" s="14" t="s">
        <v>280</v>
      </c>
      <c r="B6" s="15" t="s">
        <v>281</v>
      </c>
      <c r="C6" s="15" t="s">
        <v>282</v>
      </c>
      <c r="D6" s="15" t="s">
        <v>283</v>
      </c>
      <c r="E6" s="15" t="s">
        <v>284</v>
      </c>
      <c r="F6" s="15" t="s">
        <v>285</v>
      </c>
      <c r="G6" s="16" t="s">
        <v>38</v>
      </c>
      <c r="H6" s="17" t="s">
        <v>39</v>
      </c>
      <c r="I6" s="15" t="s">
        <v>286</v>
      </c>
      <c r="J6" s="18" t="s">
        <v>41</v>
      </c>
    </row>
    <row r="7" customFormat="false" ht="57.75" hidden="false" customHeight="true" outlineLevel="0" collapsed="false">
      <c r="A7" s="19" t="s">
        <v>287</v>
      </c>
      <c r="B7" s="20" t="s">
        <v>288</v>
      </c>
      <c r="C7" s="20" t="s">
        <v>289</v>
      </c>
      <c r="D7" s="20" t="s">
        <v>290</v>
      </c>
      <c r="E7" s="20" t="s">
        <v>291</v>
      </c>
      <c r="F7" s="20" t="s">
        <v>292</v>
      </c>
      <c r="G7" s="16" t="s">
        <v>38</v>
      </c>
      <c r="H7" s="17" t="s">
        <v>39</v>
      </c>
      <c r="I7" s="20" t="s">
        <v>293</v>
      </c>
      <c r="J7" s="21" t="s">
        <v>41</v>
      </c>
    </row>
    <row r="8" customFormat="false" ht="57.75" hidden="false" customHeight="true" outlineLevel="0" collapsed="false">
      <c r="A8" s="14" t="s">
        <v>294</v>
      </c>
      <c r="B8" s="15" t="s">
        <v>295</v>
      </c>
      <c r="C8" s="15" t="s">
        <v>296</v>
      </c>
      <c r="D8" s="15" t="s">
        <v>297</v>
      </c>
      <c r="E8" s="15" t="s">
        <v>298</v>
      </c>
      <c r="F8" s="15" t="s">
        <v>299</v>
      </c>
      <c r="G8" s="16" t="s">
        <v>38</v>
      </c>
      <c r="H8" s="23" t="s">
        <v>55</v>
      </c>
      <c r="I8" s="15" t="s">
        <v>293</v>
      </c>
      <c r="J8" s="18" t="s">
        <v>41</v>
      </c>
    </row>
    <row r="9" customFormat="false" ht="57.75" hidden="false" customHeight="true" outlineLevel="0" collapsed="false">
      <c r="A9" s="19" t="s">
        <v>300</v>
      </c>
      <c r="B9" s="20" t="s">
        <v>301</v>
      </c>
      <c r="C9" s="20" t="s">
        <v>302</v>
      </c>
      <c r="D9" s="20" t="s">
        <v>303</v>
      </c>
      <c r="E9" s="20" t="s">
        <v>304</v>
      </c>
      <c r="F9" s="20" t="s">
        <v>305</v>
      </c>
      <c r="G9" s="22" t="s">
        <v>54</v>
      </c>
      <c r="H9" s="17" t="s">
        <v>39</v>
      </c>
      <c r="I9" s="20" t="s">
        <v>293</v>
      </c>
      <c r="J9" s="21" t="s">
        <v>41</v>
      </c>
    </row>
    <row r="10" customFormat="false" ht="57.75" hidden="false" customHeight="true" outlineLevel="0" collapsed="false">
      <c r="A10" s="14" t="s">
        <v>306</v>
      </c>
      <c r="B10" s="15" t="s">
        <v>307</v>
      </c>
      <c r="C10" s="15" t="s">
        <v>308</v>
      </c>
      <c r="D10" s="15" t="s">
        <v>309</v>
      </c>
      <c r="E10" s="15" t="s">
        <v>36</v>
      </c>
      <c r="F10" s="15" t="s">
        <v>310</v>
      </c>
      <c r="G10" s="22" t="s">
        <v>54</v>
      </c>
      <c r="H10" s="17" t="s">
        <v>39</v>
      </c>
      <c r="I10" s="15" t="s">
        <v>311</v>
      </c>
      <c r="J10" s="18" t="s">
        <v>41</v>
      </c>
    </row>
    <row r="11" customFormat="false" ht="57.75" hidden="false" customHeight="true" outlineLevel="0" collapsed="false">
      <c r="A11" s="19" t="s">
        <v>312</v>
      </c>
      <c r="B11" s="20" t="s">
        <v>313</v>
      </c>
      <c r="C11" s="20" t="s">
        <v>314</v>
      </c>
      <c r="D11" s="20" t="s">
        <v>315</v>
      </c>
      <c r="E11" s="20" t="s">
        <v>316</v>
      </c>
      <c r="F11" s="20" t="s">
        <v>317</v>
      </c>
      <c r="G11" s="16" t="s">
        <v>38</v>
      </c>
      <c r="H11" s="23" t="s">
        <v>55</v>
      </c>
      <c r="I11" s="20" t="s">
        <v>311</v>
      </c>
      <c r="J11" s="21" t="s">
        <v>41</v>
      </c>
    </row>
  </sheetData>
  <autoFilter ref="A1:J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24AA"/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8" min="7" style="0" width="10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27" t="s">
        <v>22</v>
      </c>
      <c r="B1" s="27" t="s">
        <v>23</v>
      </c>
      <c r="C1" s="27" t="s">
        <v>24</v>
      </c>
      <c r="D1" s="27" t="s">
        <v>25</v>
      </c>
      <c r="E1" s="27" t="s">
        <v>26</v>
      </c>
      <c r="F1" s="27" t="s">
        <v>27</v>
      </c>
      <c r="G1" s="27" t="s">
        <v>28</v>
      </c>
      <c r="H1" s="27" t="s">
        <v>29</v>
      </c>
      <c r="I1" s="27" t="s">
        <v>30</v>
      </c>
      <c r="J1" s="27" t="s">
        <v>31</v>
      </c>
    </row>
    <row r="2" customFormat="false" ht="57.75" hidden="false" customHeight="true" outlineLevel="0" collapsed="false">
      <c r="A2" s="14" t="s">
        <v>318</v>
      </c>
      <c r="B2" s="15" t="s">
        <v>319</v>
      </c>
      <c r="C2" s="15" t="s">
        <v>320</v>
      </c>
      <c r="D2" s="15" t="s">
        <v>321</v>
      </c>
      <c r="E2" s="15" t="s">
        <v>322</v>
      </c>
      <c r="F2" s="15" t="s">
        <v>323</v>
      </c>
      <c r="G2" s="16" t="s">
        <v>38</v>
      </c>
      <c r="H2" s="23" t="s">
        <v>55</v>
      </c>
      <c r="I2" s="15" t="s">
        <v>324</v>
      </c>
      <c r="J2" s="18" t="s">
        <v>41</v>
      </c>
    </row>
    <row r="3" customFormat="false" ht="57.75" hidden="false" customHeight="true" outlineLevel="0" collapsed="false">
      <c r="A3" s="19" t="s">
        <v>325</v>
      </c>
      <c r="B3" s="20" t="s">
        <v>326</v>
      </c>
      <c r="C3" s="20" t="s">
        <v>327</v>
      </c>
      <c r="D3" s="20" t="s">
        <v>328</v>
      </c>
      <c r="E3" s="20" t="s">
        <v>36</v>
      </c>
      <c r="F3" s="20" t="s">
        <v>329</v>
      </c>
      <c r="G3" s="16" t="s">
        <v>38</v>
      </c>
      <c r="H3" s="23" t="s">
        <v>55</v>
      </c>
      <c r="I3" s="20" t="s">
        <v>330</v>
      </c>
      <c r="J3" s="21" t="s">
        <v>41</v>
      </c>
    </row>
    <row r="4" customFormat="false" ht="57.75" hidden="false" customHeight="true" outlineLevel="0" collapsed="false">
      <c r="A4" s="14" t="s">
        <v>331</v>
      </c>
      <c r="B4" s="15" t="s">
        <v>332</v>
      </c>
      <c r="C4" s="15" t="s">
        <v>333</v>
      </c>
      <c r="D4" s="15" t="s">
        <v>334</v>
      </c>
      <c r="E4" s="15" t="s">
        <v>335</v>
      </c>
      <c r="F4" s="15" t="s">
        <v>336</v>
      </c>
      <c r="G4" s="16" t="s">
        <v>38</v>
      </c>
      <c r="H4" s="23" t="s">
        <v>55</v>
      </c>
      <c r="I4" s="15" t="s">
        <v>337</v>
      </c>
      <c r="J4" s="18" t="s">
        <v>41</v>
      </c>
    </row>
    <row r="5" customFormat="false" ht="57.75" hidden="false" customHeight="true" outlineLevel="0" collapsed="false">
      <c r="A5" s="19" t="s">
        <v>338</v>
      </c>
      <c r="B5" s="20" t="s">
        <v>339</v>
      </c>
      <c r="C5" s="20" t="s">
        <v>340</v>
      </c>
      <c r="D5" s="20" t="s">
        <v>341</v>
      </c>
      <c r="E5" s="20" t="s">
        <v>342</v>
      </c>
      <c r="F5" s="20" t="s">
        <v>343</v>
      </c>
      <c r="G5" s="16" t="s">
        <v>38</v>
      </c>
      <c r="H5" s="23" t="s">
        <v>55</v>
      </c>
      <c r="I5" s="20" t="s">
        <v>344</v>
      </c>
      <c r="J5" s="21" t="s">
        <v>41</v>
      </c>
    </row>
    <row r="6" customFormat="false" ht="57.75" hidden="false" customHeight="true" outlineLevel="0" collapsed="false">
      <c r="A6" s="14" t="s">
        <v>345</v>
      </c>
      <c r="B6" s="15" t="s">
        <v>346</v>
      </c>
      <c r="C6" s="15" t="s">
        <v>347</v>
      </c>
      <c r="D6" s="15" t="s">
        <v>348</v>
      </c>
      <c r="E6" s="15" t="s">
        <v>349</v>
      </c>
      <c r="F6" s="15" t="s">
        <v>350</v>
      </c>
      <c r="G6" s="16" t="s">
        <v>38</v>
      </c>
      <c r="H6" s="17" t="s">
        <v>39</v>
      </c>
      <c r="I6" s="15" t="s">
        <v>344</v>
      </c>
      <c r="J6" s="18" t="s">
        <v>41</v>
      </c>
    </row>
    <row r="7" customFormat="false" ht="57.75" hidden="false" customHeight="true" outlineLevel="0" collapsed="false">
      <c r="A7" s="19" t="s">
        <v>351</v>
      </c>
      <c r="B7" s="20" t="s">
        <v>352</v>
      </c>
      <c r="C7" s="20" t="s">
        <v>353</v>
      </c>
      <c r="D7" s="20" t="s">
        <v>354</v>
      </c>
      <c r="E7" s="20" t="s">
        <v>355</v>
      </c>
      <c r="F7" s="20" t="s">
        <v>356</v>
      </c>
      <c r="G7" s="22" t="s">
        <v>54</v>
      </c>
      <c r="H7" s="17" t="s">
        <v>39</v>
      </c>
      <c r="I7" s="20" t="s">
        <v>357</v>
      </c>
      <c r="J7" s="21" t="s">
        <v>41</v>
      </c>
    </row>
    <row r="8" customFormat="false" ht="57.75" hidden="false" customHeight="true" outlineLevel="0" collapsed="false">
      <c r="A8" s="14" t="s">
        <v>358</v>
      </c>
      <c r="B8" s="15" t="s">
        <v>359</v>
      </c>
      <c r="C8" s="15" t="s">
        <v>360</v>
      </c>
      <c r="D8" s="15" t="s">
        <v>354</v>
      </c>
      <c r="E8" s="15" t="s">
        <v>361</v>
      </c>
      <c r="F8" s="15" t="s">
        <v>362</v>
      </c>
      <c r="G8" s="22" t="s">
        <v>54</v>
      </c>
      <c r="H8" s="17" t="s">
        <v>39</v>
      </c>
      <c r="I8" s="15" t="s">
        <v>357</v>
      </c>
      <c r="J8" s="18" t="s">
        <v>41</v>
      </c>
    </row>
    <row r="9" customFormat="false" ht="57.75" hidden="false" customHeight="true" outlineLevel="0" collapsed="false">
      <c r="A9" s="19" t="s">
        <v>363</v>
      </c>
      <c r="B9" s="20" t="s">
        <v>364</v>
      </c>
      <c r="C9" s="20" t="s">
        <v>365</v>
      </c>
      <c r="D9" s="20" t="s">
        <v>366</v>
      </c>
      <c r="E9" s="20" t="s">
        <v>36</v>
      </c>
      <c r="F9" s="20" t="s">
        <v>367</v>
      </c>
      <c r="G9" s="22" t="s">
        <v>54</v>
      </c>
      <c r="H9" s="17" t="s">
        <v>39</v>
      </c>
      <c r="I9" s="20" t="s">
        <v>357</v>
      </c>
      <c r="J9" s="21" t="s">
        <v>41</v>
      </c>
    </row>
    <row r="10" customFormat="false" ht="57.75" hidden="false" customHeight="true" outlineLevel="0" collapsed="false">
      <c r="A10" s="14" t="s">
        <v>368</v>
      </c>
      <c r="B10" s="15" t="s">
        <v>369</v>
      </c>
      <c r="C10" s="15" t="s">
        <v>370</v>
      </c>
      <c r="D10" s="15" t="s">
        <v>371</v>
      </c>
      <c r="E10" s="15" t="s">
        <v>36</v>
      </c>
      <c r="F10" s="15" t="s">
        <v>372</v>
      </c>
      <c r="G10" s="16" t="s">
        <v>38</v>
      </c>
      <c r="H10" s="17" t="s">
        <v>39</v>
      </c>
      <c r="I10" s="15" t="s">
        <v>373</v>
      </c>
      <c r="J10" s="18" t="s">
        <v>41</v>
      </c>
    </row>
    <row r="11" customFormat="false" ht="57.75" hidden="false" customHeight="true" outlineLevel="0" collapsed="false">
      <c r="A11" s="19" t="s">
        <v>374</v>
      </c>
      <c r="B11" s="20" t="s">
        <v>375</v>
      </c>
      <c r="C11" s="20" t="s">
        <v>376</v>
      </c>
      <c r="D11" s="20" t="s">
        <v>377</v>
      </c>
      <c r="E11" s="20" t="s">
        <v>36</v>
      </c>
      <c r="F11" s="20" t="s">
        <v>378</v>
      </c>
      <c r="G11" s="22" t="s">
        <v>54</v>
      </c>
      <c r="H11" s="17" t="s">
        <v>39</v>
      </c>
      <c r="I11" s="20" t="s">
        <v>373</v>
      </c>
      <c r="J11" s="21" t="s">
        <v>41</v>
      </c>
    </row>
    <row r="12" customFormat="false" ht="57.75" hidden="false" customHeight="true" outlineLevel="0" collapsed="false">
      <c r="A12" s="14" t="s">
        <v>379</v>
      </c>
      <c r="B12" s="15" t="s">
        <v>380</v>
      </c>
      <c r="C12" s="15" t="s">
        <v>381</v>
      </c>
      <c r="D12" s="15" t="s">
        <v>382</v>
      </c>
      <c r="E12" s="15" t="s">
        <v>36</v>
      </c>
      <c r="F12" s="15" t="s">
        <v>383</v>
      </c>
      <c r="G12" s="16" t="s">
        <v>38</v>
      </c>
      <c r="H12" s="23" t="s">
        <v>55</v>
      </c>
      <c r="I12" s="15" t="s">
        <v>373</v>
      </c>
      <c r="J12" s="18" t="s">
        <v>41</v>
      </c>
    </row>
    <row r="13" customFormat="false" ht="57.75" hidden="false" customHeight="true" outlineLevel="0" collapsed="false">
      <c r="A13" s="19" t="s">
        <v>384</v>
      </c>
      <c r="B13" s="20" t="s">
        <v>385</v>
      </c>
      <c r="C13" s="20" t="s">
        <v>386</v>
      </c>
      <c r="D13" s="20" t="s">
        <v>387</v>
      </c>
      <c r="E13" s="20" t="s">
        <v>388</v>
      </c>
      <c r="F13" s="20" t="s">
        <v>389</v>
      </c>
      <c r="G13" s="16" t="s">
        <v>38</v>
      </c>
      <c r="H13" s="17" t="s">
        <v>39</v>
      </c>
      <c r="I13" s="20" t="s">
        <v>390</v>
      </c>
      <c r="J13" s="21" t="s">
        <v>41</v>
      </c>
    </row>
    <row r="14" customFormat="false" ht="57.75" hidden="false" customHeight="true" outlineLevel="0" collapsed="false">
      <c r="A14" s="14" t="s">
        <v>391</v>
      </c>
      <c r="B14" s="15" t="s">
        <v>392</v>
      </c>
      <c r="C14" s="15" t="s">
        <v>393</v>
      </c>
      <c r="D14" s="15" t="s">
        <v>394</v>
      </c>
      <c r="E14" s="15" t="s">
        <v>395</v>
      </c>
      <c r="F14" s="15" t="s">
        <v>396</v>
      </c>
      <c r="G14" s="16" t="s">
        <v>38</v>
      </c>
      <c r="H14" s="17" t="s">
        <v>39</v>
      </c>
      <c r="I14" s="15" t="s">
        <v>390</v>
      </c>
      <c r="J14" s="18" t="s">
        <v>41</v>
      </c>
    </row>
    <row r="15" customFormat="false" ht="57.75" hidden="false" customHeight="true" outlineLevel="0" collapsed="false">
      <c r="A15" s="19" t="s">
        <v>397</v>
      </c>
      <c r="B15" s="20" t="s">
        <v>398</v>
      </c>
      <c r="C15" s="20" t="s">
        <v>399</v>
      </c>
      <c r="D15" s="20" t="s">
        <v>400</v>
      </c>
      <c r="E15" s="20" t="s">
        <v>401</v>
      </c>
      <c r="F15" s="20" t="s">
        <v>402</v>
      </c>
      <c r="G15" s="16" t="s">
        <v>38</v>
      </c>
      <c r="H15" s="17" t="s">
        <v>39</v>
      </c>
      <c r="I15" s="20" t="s">
        <v>403</v>
      </c>
      <c r="J15" s="21" t="s">
        <v>41</v>
      </c>
    </row>
  </sheetData>
  <autoFilter ref="A1:J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8" min="7" style="0" width="10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28" t="s">
        <v>22</v>
      </c>
      <c r="B1" s="28" t="s">
        <v>23</v>
      </c>
      <c r="C1" s="28" t="s">
        <v>24</v>
      </c>
      <c r="D1" s="28" t="s">
        <v>25</v>
      </c>
      <c r="E1" s="28" t="s">
        <v>26</v>
      </c>
      <c r="F1" s="28" t="s">
        <v>27</v>
      </c>
      <c r="G1" s="28" t="s">
        <v>28</v>
      </c>
      <c r="H1" s="28" t="s">
        <v>29</v>
      </c>
      <c r="I1" s="28" t="s">
        <v>30</v>
      </c>
      <c r="J1" s="28" t="s">
        <v>31</v>
      </c>
    </row>
    <row r="2" customFormat="false" ht="57.75" hidden="false" customHeight="true" outlineLevel="0" collapsed="false">
      <c r="A2" s="14" t="s">
        <v>404</v>
      </c>
      <c r="B2" s="15" t="s">
        <v>405</v>
      </c>
      <c r="C2" s="15" t="s">
        <v>406</v>
      </c>
      <c r="D2" s="15" t="s">
        <v>407</v>
      </c>
      <c r="E2" s="15" t="s">
        <v>36</v>
      </c>
      <c r="F2" s="15" t="s">
        <v>408</v>
      </c>
      <c r="G2" s="16" t="s">
        <v>38</v>
      </c>
      <c r="H2" s="17" t="s">
        <v>39</v>
      </c>
      <c r="I2" s="15" t="s">
        <v>409</v>
      </c>
      <c r="J2" s="18" t="s">
        <v>41</v>
      </c>
    </row>
    <row r="3" customFormat="false" ht="57.75" hidden="false" customHeight="true" outlineLevel="0" collapsed="false">
      <c r="A3" s="19" t="s">
        <v>410</v>
      </c>
      <c r="B3" s="20" t="s">
        <v>411</v>
      </c>
      <c r="C3" s="20" t="s">
        <v>412</v>
      </c>
      <c r="D3" s="20" t="s">
        <v>413</v>
      </c>
      <c r="E3" s="20" t="s">
        <v>36</v>
      </c>
      <c r="F3" s="20" t="s">
        <v>414</v>
      </c>
      <c r="G3" s="16" t="s">
        <v>38</v>
      </c>
      <c r="H3" s="23" t="s">
        <v>55</v>
      </c>
      <c r="I3" s="20" t="s">
        <v>409</v>
      </c>
      <c r="J3" s="21" t="s">
        <v>41</v>
      </c>
    </row>
    <row r="4" customFormat="false" ht="57.75" hidden="false" customHeight="true" outlineLevel="0" collapsed="false">
      <c r="A4" s="14" t="s">
        <v>415</v>
      </c>
      <c r="B4" s="15" t="s">
        <v>416</v>
      </c>
      <c r="C4" s="15" t="s">
        <v>417</v>
      </c>
      <c r="D4" s="15" t="s">
        <v>418</v>
      </c>
      <c r="E4" s="15" t="s">
        <v>36</v>
      </c>
      <c r="F4" s="15" t="s">
        <v>419</v>
      </c>
      <c r="G4" s="22" t="s">
        <v>54</v>
      </c>
      <c r="H4" s="17" t="s">
        <v>39</v>
      </c>
      <c r="I4" s="15" t="s">
        <v>409</v>
      </c>
      <c r="J4" s="18" t="s">
        <v>41</v>
      </c>
    </row>
    <row r="5" customFormat="false" ht="57.75" hidden="false" customHeight="true" outlineLevel="0" collapsed="false">
      <c r="A5" s="19" t="s">
        <v>420</v>
      </c>
      <c r="B5" s="20" t="s">
        <v>421</v>
      </c>
      <c r="C5" s="20" t="s">
        <v>422</v>
      </c>
      <c r="D5" s="20" t="s">
        <v>423</v>
      </c>
      <c r="E5" s="20" t="s">
        <v>36</v>
      </c>
      <c r="F5" s="20" t="s">
        <v>424</v>
      </c>
      <c r="G5" s="16" t="s">
        <v>38</v>
      </c>
      <c r="H5" s="23" t="s">
        <v>55</v>
      </c>
      <c r="I5" s="20" t="s">
        <v>409</v>
      </c>
      <c r="J5" s="21" t="s">
        <v>41</v>
      </c>
    </row>
    <row r="6" customFormat="false" ht="57.75" hidden="false" customHeight="true" outlineLevel="0" collapsed="false">
      <c r="A6" s="14" t="s">
        <v>425</v>
      </c>
      <c r="B6" s="15" t="s">
        <v>426</v>
      </c>
      <c r="C6" s="15" t="s">
        <v>427</v>
      </c>
      <c r="D6" s="15" t="s">
        <v>428</v>
      </c>
      <c r="E6" s="15" t="s">
        <v>36</v>
      </c>
      <c r="F6" s="15" t="s">
        <v>429</v>
      </c>
      <c r="G6" s="22" t="s">
        <v>54</v>
      </c>
      <c r="H6" s="17" t="s">
        <v>39</v>
      </c>
      <c r="I6" s="15" t="s">
        <v>430</v>
      </c>
      <c r="J6" s="18" t="s">
        <v>41</v>
      </c>
    </row>
    <row r="7" customFormat="false" ht="57.75" hidden="false" customHeight="true" outlineLevel="0" collapsed="false">
      <c r="A7" s="19" t="s">
        <v>431</v>
      </c>
      <c r="B7" s="20" t="s">
        <v>432</v>
      </c>
      <c r="C7" s="20" t="s">
        <v>433</v>
      </c>
      <c r="D7" s="20" t="s">
        <v>434</v>
      </c>
      <c r="E7" s="20" t="s">
        <v>36</v>
      </c>
      <c r="F7" s="20" t="s">
        <v>435</v>
      </c>
      <c r="G7" s="22" t="s">
        <v>54</v>
      </c>
      <c r="H7" s="17" t="s">
        <v>39</v>
      </c>
      <c r="I7" s="20" t="s">
        <v>436</v>
      </c>
      <c r="J7" s="21" t="s">
        <v>41</v>
      </c>
    </row>
    <row r="8" customFormat="false" ht="57.75" hidden="false" customHeight="true" outlineLevel="0" collapsed="false">
      <c r="A8" s="14" t="s">
        <v>437</v>
      </c>
      <c r="B8" s="15" t="s">
        <v>438</v>
      </c>
      <c r="C8" s="15" t="s">
        <v>439</v>
      </c>
      <c r="D8" s="15" t="s">
        <v>440</v>
      </c>
      <c r="E8" s="15" t="s">
        <v>36</v>
      </c>
      <c r="F8" s="15" t="s">
        <v>441</v>
      </c>
      <c r="G8" s="22" t="s">
        <v>54</v>
      </c>
      <c r="H8" s="17" t="s">
        <v>39</v>
      </c>
      <c r="I8" s="15" t="s">
        <v>442</v>
      </c>
      <c r="J8" s="18" t="s">
        <v>41</v>
      </c>
    </row>
  </sheetData>
  <autoFilter ref="A1:J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8" min="7" style="0" width="10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29" t="s">
        <v>22</v>
      </c>
      <c r="B1" s="29" t="s">
        <v>23</v>
      </c>
      <c r="C1" s="29" t="s">
        <v>24</v>
      </c>
      <c r="D1" s="29" t="s">
        <v>25</v>
      </c>
      <c r="E1" s="29" t="s">
        <v>26</v>
      </c>
      <c r="F1" s="29" t="s">
        <v>27</v>
      </c>
      <c r="G1" s="29" t="s">
        <v>28</v>
      </c>
      <c r="H1" s="29" t="s">
        <v>29</v>
      </c>
      <c r="I1" s="29" t="s">
        <v>30</v>
      </c>
      <c r="J1" s="29" t="s">
        <v>31</v>
      </c>
    </row>
    <row r="2" customFormat="false" ht="57.75" hidden="false" customHeight="true" outlineLevel="0" collapsed="false">
      <c r="A2" s="14" t="s">
        <v>443</v>
      </c>
      <c r="B2" s="15" t="s">
        <v>444</v>
      </c>
      <c r="C2" s="15" t="s">
        <v>445</v>
      </c>
      <c r="D2" s="15" t="s">
        <v>446</v>
      </c>
      <c r="E2" s="15" t="s">
        <v>36</v>
      </c>
      <c r="F2" s="15" t="s">
        <v>447</v>
      </c>
      <c r="G2" s="22" t="s">
        <v>54</v>
      </c>
      <c r="H2" s="17" t="s">
        <v>39</v>
      </c>
      <c r="I2" s="15" t="s">
        <v>448</v>
      </c>
      <c r="J2" s="18" t="s">
        <v>41</v>
      </c>
    </row>
    <row r="3" customFormat="false" ht="57.75" hidden="false" customHeight="true" outlineLevel="0" collapsed="false">
      <c r="A3" s="19" t="s">
        <v>449</v>
      </c>
      <c r="B3" s="20" t="s">
        <v>450</v>
      </c>
      <c r="C3" s="20" t="s">
        <v>451</v>
      </c>
      <c r="D3" s="20" t="s">
        <v>452</v>
      </c>
      <c r="E3" s="20" t="s">
        <v>36</v>
      </c>
      <c r="F3" s="20" t="s">
        <v>453</v>
      </c>
      <c r="G3" s="22" t="s">
        <v>54</v>
      </c>
      <c r="H3" s="17" t="s">
        <v>39</v>
      </c>
      <c r="I3" s="20" t="s">
        <v>448</v>
      </c>
      <c r="J3" s="21" t="s">
        <v>41</v>
      </c>
    </row>
    <row r="4" customFormat="false" ht="57.75" hidden="false" customHeight="true" outlineLevel="0" collapsed="false">
      <c r="A4" s="14" t="s">
        <v>454</v>
      </c>
      <c r="B4" s="15" t="s">
        <v>455</v>
      </c>
      <c r="C4" s="15" t="s">
        <v>456</v>
      </c>
      <c r="D4" s="15" t="s">
        <v>457</v>
      </c>
      <c r="E4" s="15" t="s">
        <v>36</v>
      </c>
      <c r="F4" s="15" t="s">
        <v>458</v>
      </c>
      <c r="G4" s="24" t="s">
        <v>76</v>
      </c>
      <c r="H4" s="17" t="s">
        <v>39</v>
      </c>
      <c r="I4" s="15" t="s">
        <v>448</v>
      </c>
      <c r="J4" s="18" t="s">
        <v>41</v>
      </c>
    </row>
    <row r="5" customFormat="false" ht="57.75" hidden="false" customHeight="true" outlineLevel="0" collapsed="false">
      <c r="A5" s="19" t="s">
        <v>459</v>
      </c>
      <c r="B5" s="20" t="s">
        <v>460</v>
      </c>
      <c r="C5" s="20" t="s">
        <v>456</v>
      </c>
      <c r="D5" s="20" t="s">
        <v>461</v>
      </c>
      <c r="E5" s="20" t="s">
        <v>36</v>
      </c>
      <c r="F5" s="20" t="s">
        <v>462</v>
      </c>
      <c r="G5" s="24" t="s">
        <v>76</v>
      </c>
      <c r="H5" s="17" t="s">
        <v>39</v>
      </c>
      <c r="I5" s="20" t="s">
        <v>448</v>
      </c>
      <c r="J5" s="21" t="s">
        <v>41</v>
      </c>
    </row>
    <row r="6" customFormat="false" ht="57.75" hidden="false" customHeight="true" outlineLevel="0" collapsed="false">
      <c r="A6" s="14" t="s">
        <v>463</v>
      </c>
      <c r="B6" s="15" t="s">
        <v>464</v>
      </c>
      <c r="C6" s="15" t="s">
        <v>465</v>
      </c>
      <c r="D6" s="15" t="s">
        <v>466</v>
      </c>
      <c r="E6" s="15" t="s">
        <v>36</v>
      </c>
      <c r="F6" s="15" t="s">
        <v>467</v>
      </c>
      <c r="G6" s="24" t="s">
        <v>76</v>
      </c>
      <c r="H6" s="17" t="s">
        <v>39</v>
      </c>
      <c r="I6" s="15" t="s">
        <v>468</v>
      </c>
      <c r="J6" s="18" t="s">
        <v>41</v>
      </c>
    </row>
  </sheetData>
  <autoFilter ref="A1:J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2026-09-29T16:39:57Z</dcterms:created>
  <dc:creator>openpyxl</dc:creator>
  <dc:description/>
  <dc:language>en-US</dc:language>
  <cp:lastModifiedBy/>
  <dcterms:modified xsi:type="dcterms:W3CDTF">2026-09-29T16:39:58Z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