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ealth Summary" sheetId="2" r:id="rId6"/>
    <sheet state="visible" name="01 Global &amp; Navigation" sheetId="3" r:id="rId7"/>
    <sheet state="visible" name="02 Maps" sheetId="4" r:id="rId8"/>
    <sheet state="visible" name="03 Planning" sheetId="5" r:id="rId9"/>
    <sheet state="visible" name="04 WO - Planned" sheetId="6" r:id="rId10"/>
    <sheet state="visible" name="05 WO - Inspection" sheetId="7" r:id="rId11"/>
    <sheet state="visible" name="06 WO - Observations" sheetId="8" r:id="rId12"/>
    <sheet state="visible" name="07 WO - Harvest" sheetId="9" r:id="rId13"/>
    <sheet state="visible" name="08 Harvest Central" sheetId="10" r:id="rId14"/>
    <sheet state="visible" name="09 Template Management" sheetId="11" r:id="rId15"/>
    <sheet state="visible" name="10 Communication Center" sheetId="12" r:id="rId16"/>
    <sheet state="visible" name="11 Settings" sheetId="13" r:id="rId17"/>
    <sheet state="visible" name="12 Users, Roles &amp; Perms" sheetId="14" r:id="rId18"/>
    <sheet state="visible" name="13 Sync Console &amp; D365" sheetId="15" r:id="rId19"/>
    <sheet state="visible" name="14 iOS Offline &amp; Sync" sheetId="16" r:id="rId20"/>
    <sheet state="visible" name="15 Attachments &amp; PDF" sheetId="17" r:id="rId21"/>
    <sheet state="visible" name="16 Weather &amp; Tracking" sheetId="18" r:id="rId22"/>
    <sheet state="visible" name="17 Cross-Cutting &amp; NFR" sheetId="19" r:id="rId23"/>
    <sheet state="visible" name="Defect Log" sheetId="20" r:id="rId24"/>
    <sheet state="visible" name="Test Data &amp; Env" sheetId="21" r:id="rId25"/>
  </sheets>
  <definedNames>
    <definedName hidden="1" localSheetId="2" name="_xlnm._FilterDatabase">'01 Global &amp; Navigation'!$A$2:$N$62</definedName>
    <definedName hidden="1" localSheetId="3" name="_xlnm._FilterDatabase">'02 Maps'!$A$2:$N$63</definedName>
    <definedName hidden="1" localSheetId="4" name="_xlnm._FilterDatabase">'03 Planning'!$A$2:$N$43</definedName>
    <definedName hidden="1" localSheetId="5" name="_xlnm._FilterDatabase">'04 WO - Planned'!$A$2:$N$97</definedName>
    <definedName hidden="1" localSheetId="6" name="_xlnm._FilterDatabase">'05 WO - Inspection'!$A$2:$N$47</definedName>
    <definedName hidden="1" localSheetId="7" name="_xlnm._FilterDatabase">'06 WO - Observations'!$A$2:$N$41</definedName>
    <definedName hidden="1" localSheetId="8" name="_xlnm._FilterDatabase">'07 WO - Harvest'!$A$2:$N$30</definedName>
    <definedName hidden="1" localSheetId="9" name="_xlnm._FilterDatabase">'08 Harvest Central'!$A$2:$N$49</definedName>
    <definedName hidden="1" localSheetId="10" name="_xlnm._FilterDatabase">'09 Template Management'!$A$2:$N$77</definedName>
    <definedName hidden="1" localSheetId="11" name="_xlnm._FilterDatabase">'10 Communication Center'!$A$2:$N$57</definedName>
    <definedName hidden="1" localSheetId="12" name="_xlnm._FilterDatabase">'11 Settings'!$A$2:$N$42</definedName>
    <definedName hidden="1" localSheetId="13" name="_xlnm._FilterDatabase">'12 Users, Roles &amp; Perms'!$A$2:$N$53</definedName>
    <definedName hidden="1" localSheetId="14" name="_xlnm._FilterDatabase">'13 Sync Console &amp; D365'!$A$2:$N$27</definedName>
    <definedName hidden="1" localSheetId="15" name="_xlnm._FilterDatabase">'14 iOS Offline &amp; Sync'!$A$2:$N$31</definedName>
    <definedName hidden="1" localSheetId="16" name="_xlnm._FilterDatabase">'15 Attachments &amp; PDF'!$A$2:$N$42</definedName>
    <definedName hidden="1" localSheetId="17" name="_xlnm._FilterDatabase">'16 Weather &amp; Tracking'!$A$2:$N$37</definedName>
    <definedName hidden="1" localSheetId="18" name="_xlnm._FilterDatabase">'17 Cross-Cutting &amp; NFR'!$A$2:$N$32</definedName>
  </definedNames>
  <calcPr/>
</workbook>
</file>

<file path=xl/sharedStrings.xml><?xml version="1.0" encoding="utf-8"?>
<sst xmlns="http://schemas.openxmlformats.org/spreadsheetml/2006/main" count="9261" uniqueCount="4129">
  <si>
    <t>Application Health Summary  -  AgriERP / AgriFarm (Web + iOS)</t>
  </si>
  <si>
    <t>AgriERP / AgriFarm  -  Vann Brothers Regression Test Suite (Web + iOS)</t>
  </si>
  <si>
    <t>AgriERP / AgriFarm  -  Vann Brothers Regression Suite  |  Global &amp; Navigation</t>
  </si>
  <si>
    <t>Client / Product</t>
  </si>
  <si>
    <t>Vann Brothers - AgriERP / AgriFarm (Farm App)</t>
  </si>
  <si>
    <t>Every figure below is formula-driven from the module tabs. Update the Status column on each tab and this sheet recalculates.</t>
  </si>
  <si>
    <t>AgriERP / AgriFarm  -  Vann Brothers Regression Suite  |  Maps</t>
  </si>
  <si>
    <t>Module</t>
  </si>
  <si>
    <t>Environment under test</t>
  </si>
  <si>
    <t>Vann Brothers - QA  |  https://agrierp-vann-qa.folio3.site</t>
  </si>
  <si>
    <t>Platforms in scope</t>
  </si>
  <si>
    <t>Web application (Chromium based browser) and native iOS app (iPhone)</t>
  </si>
  <si>
    <t>Integrated systems</t>
  </si>
  <si>
    <t>Microsoft Dynamics 365 F&amp;O (projects, tasks, resources, assets, materials, inventory, posting)</t>
  </si>
  <si>
    <t>Prepared by</t>
  </si>
  <si>
    <t>QA - Folio3</t>
  </si>
  <si>
    <t>Prepared on</t>
  </si>
  <si>
    <t>26-Aug-2026</t>
  </si>
  <si>
    <t>Suite type</t>
  </si>
  <si>
    <t>Full regression - execute per release candidate before UAT sign-off</t>
  </si>
  <si>
    <t>Scope</t>
  </si>
  <si>
    <t>Maps, Planning, Work Orders (Planned / Inspection / Observations / Harvest), Harvest Central, Template Management, Communication Center, Settings, Users &amp; Roles, Sync Console &amp; D365 integration, iOS offline &amp; sync, attachments &amp; PDF export, weather &amp; location tracking, cross-cutting NFRs.</t>
  </si>
  <si>
    <t>Out of scope</t>
  </si>
  <si>
    <t>Android app, D365 F&amp;O internal screens, AgriERP Inventory app, load/stress testing beyond the listed performance checks.</t>
  </si>
  <si>
    <t>Objective</t>
  </si>
  <si>
    <t>Establish that every documented flow across web and iOS still behaves correctly after a release, that data reconciles between the two platforms and D365, and that previously closed defects have not regressed.</t>
  </si>
  <si>
    <t>Estimation basis</t>
  </si>
  <si>
    <t>Cases</t>
  </si>
  <si>
    <t>P1</t>
  </si>
  <si>
    <t>P2</t>
  </si>
  <si>
    <t>P3</t>
  </si>
  <si>
    <t>Web</t>
  </si>
  <si>
    <t>TC-ID</t>
  </si>
  <si>
    <t>iOS</t>
  </si>
  <si>
    <t>Both</t>
  </si>
  <si>
    <t>Est. (min)</t>
  </si>
  <si>
    <t>Sub-Process</t>
  </si>
  <si>
    <t>Platform</t>
  </si>
  <si>
    <t>Est. (hrs)</t>
  </si>
  <si>
    <t>Prerequisite</t>
  </si>
  <si>
    <t>Pass</t>
  </si>
  <si>
    <t>Test Case</t>
  </si>
  <si>
    <t>Steps / Action</t>
  </si>
  <si>
    <t>Fail</t>
  </si>
  <si>
    <t>Expected Result</t>
  </si>
  <si>
    <t>Blocked</t>
  </si>
  <si>
    <t>Priority</t>
  </si>
  <si>
    <t>Not Run</t>
  </si>
  <si>
    <t>Executed %</t>
  </si>
  <si>
    <t>Pass %</t>
  </si>
  <si>
    <t>•  Estimates are DELIBERATELY CONSERVATIVE, not optimal. They assume a single manual tester on a prepared environment, working at a sustainable pace.</t>
  </si>
  <si>
    <t>Type</t>
  </si>
  <si>
    <t>Global &amp; Navigation</t>
  </si>
  <si>
    <t>Estimate (min)</t>
  </si>
  <si>
    <t>•  Each estimate covers: reading the case, setting up the prerequisite data, executing every step, verifying the expected result, and recording the outcome.</t>
  </si>
  <si>
    <t>Status</t>
  </si>
  <si>
    <t>Actual Result</t>
  </si>
  <si>
    <t>Comments</t>
  </si>
  <si>
    <t>•  Cross-platform cases (Web + iOS) include the time to perform the action on one platform and verify it on the other, including the sync wait.</t>
  </si>
  <si>
    <t>•  Integration and D365 cases include the wait for the sync/posting batch job to run before the result can be verified.</t>
  </si>
  <si>
    <t>MP-001</t>
  </si>
  <si>
    <t>•  Estimates exclude defect investigation, re-testing after a fix, and environment downtime. Budget a further 25-30% of the total for those.</t>
  </si>
  <si>
    <t>•  A productive day is assumed to be 6 hours of actual execution, not 8.</t>
  </si>
  <si>
    <t>How to use this workbook</t>
  </si>
  <si>
    <t>1.  One tab per module. Execute top to bottom; each row is one test case.</t>
  </si>
  <si>
    <t>Maps</t>
  </si>
  <si>
    <t>2.  Fill only the three yellow columns: Status, Actual Result and Comments. Everything else is a read-only test asset.</t>
  </si>
  <si>
    <t>Map Load</t>
  </si>
  <si>
    <t>Logged-in user, site and season selected</t>
  </si>
  <si>
    <t>3.  Status values: Not Run / Pass / Fail / Blocked / N-A (dropdown provided). Pass, Fail and Blocked are colour-coded automatically.</t>
  </si>
  <si>
    <t>Verify the Maps module loads the farm boundary and field polygons</t>
  </si>
  <si>
    <t>1. Click Maps in the header
2. Wait for the map to render</t>
  </si>
  <si>
    <t>4.  The Platform column states where the case runs: Web, iOS, or Web + iOS (execute on one and verify on the other).</t>
  </si>
  <si>
    <t>The map renders centred on the selected farm with all field polygons drawn and labelled; no console errors and no missing tiles.</t>
  </si>
  <si>
    <t>5.  Priority: P1 = build-blocking / business critical, P2 = important, P3 = cosmetic or low-frequency.</t>
  </si>
  <si>
    <t>Functional</t>
  </si>
  <si>
    <t>6.  Every failure must be logged on the Defect Log tab and referenced by ID from the Comments column.</t>
  </si>
  <si>
    <t>7.  The Health Summary tab recalculates automatically from the module tabs - do not overwrite its formulas.</t>
  </si>
  <si>
    <t>8.  Cases flagged as 'known defect area' in the Expected Result derive from defects raised in earlier releases; verify these with particular care.</t>
  </si>
  <si>
    <t>Legend</t>
  </si>
  <si>
    <t>Header / test asset</t>
  </si>
  <si>
    <t>GN-001</t>
  </si>
  <si>
    <t>Read-only - do not edit</t>
  </si>
  <si>
    <t>Authentication</t>
  </si>
  <si>
    <t>Tester input</t>
  </si>
  <si>
    <t>Valid AgriERP QA credentials (Azure AD / f3dynamics.onmicrosoft.com)</t>
  </si>
  <si>
    <t>Verify login to the AgriFarm web app with valid credentials</t>
  </si>
  <si>
    <t>1. Open https://agrierp-vann-qa.folio3.site
2. Enter a valid username and password
3. Complete MFA if prompted</t>
  </si>
  <si>
    <t>The identity provider authenticates the user, the app lands on the default module, and the header shows the user's Grower, Site and Season.</t>
  </si>
  <si>
    <t>Status, Actual Result, Comments</t>
  </si>
  <si>
    <t>Calculated</t>
  </si>
  <si>
    <t>MP-002</t>
  </si>
  <si>
    <t>Formula-driven - do not overwrite</t>
  </si>
  <si>
    <t>GN-002</t>
  </si>
  <si>
    <t>Maps open</t>
  </si>
  <si>
    <t>Valid username</t>
  </si>
  <si>
    <t>Verify farm summary counters are correct</t>
  </si>
  <si>
    <t>Verify login is rejected with an invalid password</t>
  </si>
  <si>
    <t>1. Open the Details aside &gt; Summary tab
2. Compare with the sidebar tree</t>
  </si>
  <si>
    <t>1. Enter a valid username with an incorrect password
2. Submit</t>
  </si>
  <si>
    <t>Farm Name, Location, No of Fields and Total Area are shown and reconcile exactly with the sidebar field list.</t>
  </si>
  <si>
    <t>Login fails with a clear error from the identity provider; no partial session is created and the user is not routed into the app shell.</t>
  </si>
  <si>
    <t>Data</t>
  </si>
  <si>
    <t>Negative</t>
  </si>
  <si>
    <t>MP-003</t>
  </si>
  <si>
    <t>GN-003</t>
  </si>
  <si>
    <t>A site or season with unmapped fields</t>
  </si>
  <si>
    <t>None</t>
  </si>
  <si>
    <t>Verify empty/partial geometry handling</t>
  </si>
  <si>
    <t>Verify unauthenticated deep-link access is blocked</t>
  </si>
  <si>
    <t>1. Switch to a site or season containing fields with no boundary geometry</t>
  </si>
  <si>
    <t>1. In a fresh/incognito browser open https://agrierp-vann-qa.folio3.site/workorders directly</t>
  </si>
  <si>
    <t>The map still renders; unmapped fields are omitted or clearly flagged; no JavaScript error and no infinite loading state.</t>
  </si>
  <si>
    <t>User is redirected to the sign-in page; after successful sign-in the originally requested route is restored.</t>
  </si>
  <si>
    <t>Security</t>
  </si>
  <si>
    <t>MP-004</t>
  </si>
  <si>
    <t>GN-004</t>
  </si>
  <si>
    <t>Logged-in session</t>
  </si>
  <si>
    <t>Verify map load time with the full QA dataset</t>
  </si>
  <si>
    <t>Verify Log Out terminates the session</t>
  </si>
  <si>
    <t>1. Hard-refresh Maps and measure time to first fully rendered polygon set
2. Repeat three times and take the median</t>
  </si>
  <si>
    <t>1. Click the avatar (top-right)
2. Click 'Log Out'
3. After redirect press browser Back</t>
  </si>
  <si>
    <t>The map reaches a usable rendered state within the agreed threshold; the measured value is recorded in Comments for trend tracking.</t>
  </si>
  <si>
    <t>Session is terminated, the sign-in page is shown, and Back does not restore any authenticated page or cached data.</t>
  </si>
  <si>
    <t>Performance</t>
  </si>
  <si>
    <t>MP-005</t>
  </si>
  <si>
    <t>GN-005</t>
  </si>
  <si>
    <t>Map Type</t>
  </si>
  <si>
    <t>Verify the Map / Satellite base-layer toggle</t>
  </si>
  <si>
    <t>Verify session expiry / silent token refresh behaviour</t>
  </si>
  <si>
    <t>1. Click 'Satellite'
2. Click 'Map'</t>
  </si>
  <si>
    <t>1. Log in and leave the app idle beyond the configured token lifetime
2. Return and click any module</t>
  </si>
  <si>
    <t>Either the token refreshes silently and the action succeeds, or the user is cleanly redirected to sign-in. The app never shows a blank screen or an unhandled 401.</t>
  </si>
  <si>
    <t>The base layer switches between roadmap and satellite imagery; field polygons and labels stay aligned and visible in both.</t>
  </si>
  <si>
    <t>GN-006</t>
  </si>
  <si>
    <t>MP-006</t>
  </si>
  <si>
    <t>Account exists in D365 but not provisioned in AgriERP</t>
  </si>
  <si>
    <t>Verify an unprovisioned but authenticated account is handled</t>
  </si>
  <si>
    <t>1. Authenticate with an account that has no AgriERP user record
2. Observe the landing behaviour</t>
  </si>
  <si>
    <t>A clear 'no access / not provisioned' message is shown. The user is not dropped into an empty shell with broken module calls.</t>
  </si>
  <si>
    <t>Satellite view active</t>
  </si>
  <si>
    <t>Verify the Terrain and Labels sub-options</t>
  </si>
  <si>
    <t>1. Hover the base-layer control
2. Toggle 'Terrain' and 'Labels'</t>
  </si>
  <si>
    <t>GN-007</t>
  </si>
  <si>
    <t>Terrain shading and place labels are applied and removed without losing the field overlay.</t>
  </si>
  <si>
    <t>A user set to Inactive in Settings &gt; User Management</t>
  </si>
  <si>
    <t>Verify an inactive user cannot access the application</t>
  </si>
  <si>
    <t>1. Deactivate a user via Settings &gt; Users
2. Attempt to sign in as that user</t>
  </si>
  <si>
    <t>Sign-in is blocked with an explicit message stating the account is inactive; any pre-existing session for that user is invalidated on next request.</t>
  </si>
  <si>
    <t>MP-007</t>
  </si>
  <si>
    <t>Map Controls</t>
  </si>
  <si>
    <t>GN-008</t>
  </si>
  <si>
    <t>Verify zoom in / zoom out controls</t>
  </si>
  <si>
    <t>AgriERP iOS build installed on iPhone/iPad, valid credentials</t>
  </si>
  <si>
    <t>Verify login to the iOS app with valid credentials</t>
  </si>
  <si>
    <t>1. Click Zoom in three times, then Zoom out three times</t>
  </si>
  <si>
    <t>1. Launch the AgriERP app
2. Enter valid credentials on the login screen
3. Complete MFA if prompted</t>
  </si>
  <si>
    <t>The user is authenticated, the dashboard tiles render, and the profile shows the correct Grower, Location and Season.</t>
  </si>
  <si>
    <t>The zoom level changes smoothly, polygons and labels rescale correctly, and the view returns to a comparable extent.</t>
  </si>
  <si>
    <t>GN-009</t>
  </si>
  <si>
    <t>MP-008</t>
  </si>
  <si>
    <t>iOS app installed</t>
  </si>
  <si>
    <t>Verify login is rejected with invalid credentials on iOS</t>
  </si>
  <si>
    <t>1. Enter an incorrect password and submit
2. Repeat with a non-existent username</t>
  </si>
  <si>
    <t>Both attempts fail with a readable in-app error; the app does not crash, hang on a spinner, or cache the failed credentials.</t>
  </si>
  <si>
    <t>Verify the fullscreen toggle</t>
  </si>
  <si>
    <t>1. Click 'Toggle fullscreen view'
2. Press Esc</t>
  </si>
  <si>
    <t>The map expands to fullscreen and restores correctly; controls and the layer panel remain usable in both states.</t>
  </si>
  <si>
    <t>GN-010</t>
  </si>
  <si>
    <t>Logged-in iOS session</t>
  </si>
  <si>
    <t>Verify the iOS session persists across an app restart</t>
  </si>
  <si>
    <t>1. Log in
2. Force-quit the app from the app switcher
3. Relaunch</t>
  </si>
  <si>
    <t>The user remains signed in and lands on the dashboard without re-entering credentials, provided the token is still valid.</t>
  </si>
  <si>
    <t>MP-009</t>
  </si>
  <si>
    <t>GN-011</t>
  </si>
  <si>
    <t>Verify pan and drag behaviour</t>
  </si>
  <si>
    <t>1. Click and drag the map in several directions</t>
  </si>
  <si>
    <t>The map pans smoothly, tiles load progressively and field overlays stay aligned with the base imagery.</t>
  </si>
  <si>
    <t>Verify Log Out on iOS clears local data</t>
  </si>
  <si>
    <t>1. Log out from the app menu
2. Relaunch the app
3. Attempt to open a previously cached work order offline</t>
  </si>
  <si>
    <t>Login screen is shown, no cached work-order data is reachable without authenticating, and the local store is cleared per the security policy.</t>
  </si>
  <si>
    <t>MP-010</t>
  </si>
  <si>
    <t>GN-012</t>
  </si>
  <si>
    <t>Web + iOS</t>
  </si>
  <si>
    <t>Same user account</t>
  </si>
  <si>
    <t>Verify concurrent sessions on web and iOS are supported</t>
  </si>
  <si>
    <t>1. Log in on web and on the iOS app with the same account
2. Perform an action on each</t>
  </si>
  <si>
    <t>Both sessions remain valid and functional; actions on one platform do not silently invalidate the other unless single-session policy is configured.</t>
  </si>
  <si>
    <t>Verify Street View (Pegman) behaves gracefully</t>
  </si>
  <si>
    <t>GN-013</t>
  </si>
  <si>
    <t>1. Drag Pegman onto a road near a field</t>
  </si>
  <si>
    <t>Header - Navigation</t>
  </si>
  <si>
    <t>Street View opens where imagery exists; where it does not, the control degrades gracefully without a broken panel.</t>
  </si>
  <si>
    <t>Logged-in user</t>
  </si>
  <si>
    <t>Verify all primary modules are present in the header</t>
  </si>
  <si>
    <t>1. Observe the header navigation bar</t>
  </si>
  <si>
    <t>Header shows Maps, Planning, Work Orders, Harvest Central, Template Management and Communication Center, with no missing or duplicated entries.</t>
  </si>
  <si>
    <t>UI</t>
  </si>
  <si>
    <t>MP-011</t>
  </si>
  <si>
    <t>GN-014</t>
  </si>
  <si>
    <t>Maps Control - Layers</t>
  </si>
  <si>
    <t>Verify the Maps Control panel lists all configured layers</t>
  </si>
  <si>
    <t>Verify each header module link routes to the correct page</t>
  </si>
  <si>
    <t>1. Click 'Maps Control'</t>
  </si>
  <si>
    <t>1. Click Maps, Planning, Work Orders, Harvest Central, Template Management and Communication Center in turn
2. Check the URL each time</t>
  </si>
  <si>
    <t>Routes resolve to /maps, /crop-mgmt, /workorders, /harvest-central, /template-mgmt and /messaging respectively, each rendering its own page without error.</t>
  </si>
  <si>
    <t>The panel lists Stages, Crops, Task/Operation, Active/Draft/Completed Inspections, Upcoming/Active/Completed Work Orders, Observations and Point of Interest.</t>
  </si>
  <si>
    <t>GN-015</t>
  </si>
  <si>
    <t>On any module page</t>
  </si>
  <si>
    <t>MP-012</t>
  </si>
  <si>
    <t>Verify the active module is visually highlighted</t>
  </si>
  <si>
    <t>1. Navigate to each module in turn
2. Observe nav item styling</t>
  </si>
  <si>
    <t>The nav item for the open module is highlighted; all others are in the default state. The highlight survives an in-module navigation and a page refresh.</t>
  </si>
  <si>
    <t>Maps Control open</t>
  </si>
  <si>
    <t>Verify the Crops layer colour-codes fields by crop</t>
  </si>
  <si>
    <t>GN-016</t>
  </si>
  <si>
    <t>1. Select the Crops layer
2. Observe the map and legend</t>
  </si>
  <si>
    <t>Fields are shaded by crop/variety with a legend matching the shading; field labels remain readable over the fill.</t>
  </si>
  <si>
    <t>On a nested page</t>
  </si>
  <si>
    <t>Verify the breadcrumb reflects the current location and is navigable</t>
  </si>
  <si>
    <t>1. Open Template Management &gt; Inspection Template &gt; Create
2. Click each breadcrumb node in turn</t>
  </si>
  <si>
    <t>Breadcrumb shows the full path, each node navigates to the correct ancestor page, and the trailing node is not clickable.</t>
  </si>
  <si>
    <t>MP-013</t>
  </si>
  <si>
    <t>GN-017</t>
  </si>
  <si>
    <t>Header - Grower Selector</t>
  </si>
  <si>
    <t>User mapped to more than one grower</t>
  </si>
  <si>
    <t>Verify the Grower dropdown lists only growers the user is mapped to</t>
  </si>
  <si>
    <t>1. Open the Grower selector in the header/profile</t>
  </si>
  <si>
    <t>Only growers the signed-in user is mapped to are listed. Growers outside the mapping are absent, including from the type-ahead results.</t>
  </si>
  <si>
    <t>GN-018</t>
  </si>
  <si>
    <t>Verify the Stages layer reflects each plot's current growth stage</t>
  </si>
  <si>
    <t>1. Select the Stages layer
2. Cross-check three plots against Planning</t>
  </si>
  <si>
    <t>Fields are shaded by current stage and the shading matches the stage shown for the same plot in the Planning module.</t>
  </si>
  <si>
    <t>User with multiple growers</t>
  </si>
  <si>
    <t>Verify changing the Grower re-filters the Location list</t>
  </si>
  <si>
    <t>1. Select Grower A and note the locations offered
2. Switch to Grower B
3. Reopen the Location list</t>
  </si>
  <si>
    <t>The Location list refreshes immediately to show only locations mapped to the newly selected grower; no Grower A locations remain selectable.</t>
  </si>
  <si>
    <t>MP-014</t>
  </si>
  <si>
    <t>GN-019</t>
  </si>
  <si>
    <t>Work orders exist in several statuses</t>
  </si>
  <si>
    <t>Grower with no locations mapped to the user</t>
  </si>
  <si>
    <t>Verify the Upcoming (To Do) work order layer</t>
  </si>
  <si>
    <t>Verify a grower with no accessible locations is handled</t>
  </si>
  <si>
    <t>1. Select the Upcoming Work Order layer
2. Cross-check against the Work Orders list filtered to 'To Do'</t>
  </si>
  <si>
    <t>1. Select a grower for which the user holds no location rights</t>
  </si>
  <si>
    <t>Only plots carrying To Do work orders are highlighted and the set matches the filtered work order list exactly.</t>
  </si>
  <si>
    <t>A clear 'No locations available' state is shown; module pages either stay on a safe empty state or prompt for a valid selection rather than erroring.</t>
  </si>
  <si>
    <t>GN-020</t>
  </si>
  <si>
    <t>MP-015</t>
  </si>
  <si>
    <t>Grower selected</t>
  </si>
  <si>
    <t>Verify grower selection persists after re-login</t>
  </si>
  <si>
    <t>1. Select a non-default grower
2. Log out and log back in</t>
  </si>
  <si>
    <t>Work orders in progress exist</t>
  </si>
  <si>
    <t>The previously selected grower is restored (or the configured default is applied consistently) rather than resetting unpredictably.</t>
  </si>
  <si>
    <t>Verify the Active (In Progress) work order layer</t>
  </si>
  <si>
    <t>1. Select the Active Work Order layer
2. Cross-check against the Work Orders list filtered to 'In Progress'</t>
  </si>
  <si>
    <t>Only plots carrying In Progress work orders are highlighted and the set matches the filtered list.</t>
  </si>
  <si>
    <t>GN-021</t>
  </si>
  <si>
    <t>Header - Site Selector</t>
  </si>
  <si>
    <t>User with access to more than one site</t>
  </si>
  <si>
    <t>Verify the Site dropdown lists all permitted sites with search</t>
  </si>
  <si>
    <t>1. Click 'Site: &lt;current&gt;' in the header
2. Type part of a site name</t>
  </si>
  <si>
    <t>MP-016</t>
  </si>
  <si>
    <t>Dropdown lists the permitted sites (e.g. Yolo, Colusa); the type-ahead filters correctly and clearing it restores the full list.</t>
  </si>
  <si>
    <t>Completed work orders exist, including some ended from the mobile app</t>
  </si>
  <si>
    <t>Verify the Completed work order layer includes mobile-completed work orders</t>
  </si>
  <si>
    <t>1. Complete a work order from the iOS app
2. Refresh Maps and select the Completed Work Order layer</t>
  </si>
  <si>
    <t>GN-022</t>
  </si>
  <si>
    <t>The plot for the mobile-completed work order is highlighted under Completed. This has regressed previously (mobile completions missing from the completed list).</t>
  </si>
  <si>
    <t>Maps open on one site</t>
  </si>
  <si>
    <t>Verify switching site reloads module data for the new site</t>
  </si>
  <si>
    <t>1. Note the field count on Maps for the current site
2. Switch Site
3. Observe the Maps sidebar and extent</t>
  </si>
  <si>
    <t>Header label, sidebar tree, counters and map extent all reload for the new site with no data from the previous site remaining on screen.</t>
  </si>
  <si>
    <t>MP-017</t>
  </si>
  <si>
    <t>Inspections exist in several statuses</t>
  </si>
  <si>
    <t>Verify the Active / Draft / Completed Inspection layers</t>
  </si>
  <si>
    <t>Planning</t>
  </si>
  <si>
    <t>GN-023</t>
  </si>
  <si>
    <t>1. Select each inspection layer in turn
2. Cross-check against Work Orders &gt; Inspection Work Orders</t>
  </si>
  <si>
    <t>Highlighted plots match the inspection work orders in the corresponding status for each layer.</t>
  </si>
  <si>
    <t>Work Orders list open with a filter applied</t>
  </si>
  <si>
    <t>Verify site switch is honoured on a data grid</t>
  </si>
  <si>
    <t>1. Open Work Orders and apply a status filter
2. Switch Site
3. Observe the grid</t>
  </si>
  <si>
    <t>The grid reloads scoped to the new site; the applied filter behaves per design (retained or cleared) and no cross-site rows leak into the results.</t>
  </si>
  <si>
    <t>MP-018</t>
  </si>
  <si>
    <t>Inspection work orders exist</t>
  </si>
  <si>
    <t>Verify the inspection flag/indicator renders on the map</t>
  </si>
  <si>
    <t>1. Select the Active Inspection layer, then the Completed Inspection layer</t>
  </si>
  <si>
    <t>GN-024</t>
  </si>
  <si>
    <t>A flag or marker is drawn on each plot with an inspection in the selected status, distinguishable between active and completed.</t>
  </si>
  <si>
    <t>Header - Season Selector</t>
  </si>
  <si>
    <t>Verify the Season dropdown lists available crop years</t>
  </si>
  <si>
    <t>1. Click 'Season: &lt;current&gt;' in the header</t>
  </si>
  <si>
    <t>Dropdown lists the configured crop years (e.g. Crop Year 2025 and Crop Year 2026) and marks the currently selected one.</t>
  </si>
  <si>
    <t>MP-019</t>
  </si>
  <si>
    <t>Observations recorded against plots</t>
  </si>
  <si>
    <t>Verify the Observations layer</t>
  </si>
  <si>
    <t>1. Select the Observations layer
2. Click a highlighted plot</t>
  </si>
  <si>
    <t>GN-025</t>
  </si>
  <si>
    <t>Plots with observations are marked and selecting one surfaces the related observation(s) with a route to the detail.</t>
  </si>
  <si>
    <t>Harvest Central open</t>
  </si>
  <si>
    <t>MP-020</t>
  </si>
  <si>
    <t>Verify switching season refreshes season-scoped data</t>
  </si>
  <si>
    <t>1. Note the ticket counts on Harvest Central
2. Switch Season
3. Observe the list</t>
  </si>
  <si>
    <t>POI types configured and observations captured</t>
  </si>
  <si>
    <t>Verify the Point of Interest layer renders configured pin icons and colours</t>
  </si>
  <si>
    <t>Header label and all season-scoped datasets refresh to the newly selected crop year; counts change accordingly with no cross-season leakage.</t>
  </si>
  <si>
    <t>1. Select the Point of Interest layer
2. Compare pins against the POI configuration in Settings</t>
  </si>
  <si>
    <t>Each pin uses the icon and colour configured for its POI category; disabled categories are not plotted.</t>
  </si>
  <si>
    <t>GN-026</t>
  </si>
  <si>
    <t>MP-021</t>
  </si>
  <si>
    <t>A layer already selected</t>
  </si>
  <si>
    <t>Season switched</t>
  </si>
  <si>
    <t>Verify switching layers clears the previous overlay</t>
  </si>
  <si>
    <t>Verify season selection persists across navigation and refresh</t>
  </si>
  <si>
    <t>1. Select 'Crops', then select 'Active Work Orders'</t>
  </si>
  <si>
    <t>1. Switch Season
2. Navigate Maps &gt; Planning &gt; Work Orders
3. Refresh the browser (F5)</t>
  </si>
  <si>
    <t>Only the newly selected layer's styling is applied; the previous layer's colours and markers are fully removed.</t>
  </si>
  <si>
    <t>The selected season is retained on every module and survives the refresh.</t>
  </si>
  <si>
    <t>MP-022</t>
  </si>
  <si>
    <t>GN-027</t>
  </si>
  <si>
    <t>Header - Weather Widget</t>
  </si>
  <si>
    <t>Verify the Task/Operation layer groups plots by operation</t>
  </si>
  <si>
    <t>1. Select the Task/Operation layer</t>
  </si>
  <si>
    <t>On Maps with a site selected</t>
  </si>
  <si>
    <t>Plots are shaded by the operation associated with their current work, with a matching legend.</t>
  </si>
  <si>
    <t>Verify the weather widget displays current conditions</t>
  </si>
  <si>
    <t>1. Click the weather icon / 'See Weather Details' in the header</t>
  </si>
  <si>
    <t>A panel shows temperature, condition text, humidity, wind and any forecast rows, for the location of the selected site.</t>
  </si>
  <si>
    <t>MP-023</t>
  </si>
  <si>
    <t>Map Toggle Config</t>
  </si>
  <si>
    <t>GN-028</t>
  </si>
  <si>
    <t>Admin access to Settings &gt; Map Toggle Configuration</t>
  </si>
  <si>
    <t>Verify colours configured in Map Toggle Config apply to the Upcoming WO layer</t>
  </si>
  <si>
    <t>1. Set a distinctive colour for Upcoming Work Orders in Map Toggle Configuration and save
2. Open Maps and select that layer</t>
  </si>
  <si>
    <t>Weather panel open</t>
  </si>
  <si>
    <t>The plots render in exactly the configured colour; the legend swatch matches.</t>
  </si>
  <si>
    <t>Verify weather values are plausible and unit-labelled</t>
  </si>
  <si>
    <t>1. Open the weather panel and inspect each value
2. Cross-check against a public weather source for the same location</t>
  </si>
  <si>
    <t>Temperature carries an explicit unit, percentages are within 0-100, wind has a unit and direction, and values are within a plausible range of the reference source.</t>
  </si>
  <si>
    <t>MP-024</t>
  </si>
  <si>
    <t>Map Toggle Configuration accessible</t>
  </si>
  <si>
    <t>GN-029</t>
  </si>
  <si>
    <t>Verify colours apply to Active and Completed Work Order layers</t>
  </si>
  <si>
    <t>1. Configure distinct colours for Active and Completed Work Orders
2. Verify each layer on the map</t>
  </si>
  <si>
    <t>Header - D365 Link</t>
  </si>
  <si>
    <t>Both layers render in their configured colours with no colour bleeding between statuses.</t>
  </si>
  <si>
    <t>Verify the Dynamics 365 F&amp;O shortcut opens the correct environment</t>
  </si>
  <si>
    <t>1. Click the 'Navigate to Microsoft Dynamics 365 F&amp;O' icon</t>
  </si>
  <si>
    <t>MP-025</t>
  </si>
  <si>
    <t>The D365 F&amp;O QA environment opens in a new browser tab. A QA build must never link to the production D365 environment.</t>
  </si>
  <si>
    <t>AgriERP / AgriFarm  -  Vann Brothers Regression Suite  |  Planning</t>
  </si>
  <si>
    <t>Integration</t>
  </si>
  <si>
    <t>Verify colours apply to Crop, Stage and Operation layers</t>
  </si>
  <si>
    <t>1. Configure colours for a crop, a stage and an operation
2. Verify each layer on the map</t>
  </si>
  <si>
    <t>GN-030</t>
  </si>
  <si>
    <t>Each layer honours its configured colour mapping and the legend agrees with the map fill.</t>
  </si>
  <si>
    <t>Header - Notifications</t>
  </si>
  <si>
    <t>Verify the notification bell opens the notification list</t>
  </si>
  <si>
    <t>1. Click the notification icon in the header</t>
  </si>
  <si>
    <t>The panel opens listing recent notifications newest-first, each with a timestamp and a working link to the related record where applicable.</t>
  </si>
  <si>
    <t>MP-026</t>
  </si>
  <si>
    <t>POI categories exist with pins already placed</t>
  </si>
  <si>
    <t>Verify changing a POI category colour does not retro-change existing pins</t>
  </si>
  <si>
    <t>1. Note the colour of existing pins for a POI category
2. Change the category colour in configuration
3. Return to the map</t>
  </si>
  <si>
    <t>Behaviour matches the agreed rule (previously placed pins retain their original colour); any change is logged in the POI category change log.</t>
  </si>
  <si>
    <t>GN-031</t>
  </si>
  <si>
    <t>Work Orders - Planned</t>
  </si>
  <si>
    <t>An event that raises a notification (flagged message, WO assignment)</t>
  </si>
  <si>
    <t>MP-027</t>
  </si>
  <si>
    <t>Map Toggle Configuration open</t>
  </si>
  <si>
    <t>Verify configuration changes are saved and survive a reload</t>
  </si>
  <si>
    <t>1. Change several settings and save
2. Reload the page and reopen the configuration</t>
  </si>
  <si>
    <t>All changes persist exactly as saved with a success confirmation on save.</t>
  </si>
  <si>
    <t>Verify a new notification is raised and the unread badge updates</t>
  </si>
  <si>
    <t>1. Trigger a notifiable event from another account
2. Observe the bell without refreshing, then refresh</t>
  </si>
  <si>
    <t>The unread count increases, the new item appears at the top of the list, and opening it clears the unread state.</t>
  </si>
  <si>
    <t>MP-028</t>
  </si>
  <si>
    <t>Advance Filter</t>
  </si>
  <si>
    <t>Verify the Advance Filter panel opens with all expected criteria</t>
  </si>
  <si>
    <t>GN-032</t>
  </si>
  <si>
    <t>1. Click the Advance Filter control</t>
  </si>
  <si>
    <t>The panel exposes Upcoming/Active/Completed Work Order tiles, Active/Completed Inspection tiles, Task/Operation, Season, Farm, Start Date and End Date.</t>
  </si>
  <si>
    <t>Header - User Menu</t>
  </si>
  <si>
    <t>PL-001</t>
  </si>
  <si>
    <t>Module Load</t>
  </si>
  <si>
    <t>MP-029</t>
  </si>
  <si>
    <t>Work Orders - Inspection</t>
  </si>
  <si>
    <t>Verify user menu content is correct</t>
  </si>
  <si>
    <t>1. Click the avatar initials in the header</t>
  </si>
  <si>
    <t>The menu shows display name/role, admin flag, User Settings, Sync Console (admins only), Grower, Help, Version, Environment and Log Out.</t>
  </si>
  <si>
    <t>Verify the Planning module opens with the farm tree</t>
  </si>
  <si>
    <t>1. Click 'Planning' in the header</t>
  </si>
  <si>
    <t>The route resolves to /crop-mgmt, the left sidebar renders the farm/field tree and the work area shows a clear empty-state prompt until a plot is chosen.</t>
  </si>
  <si>
    <t>GN-033</t>
  </si>
  <si>
    <t>User menu open</t>
  </si>
  <si>
    <t>Verify the displayed application version matches the deployed build</t>
  </si>
  <si>
    <t>1. Read the Version value
2. Compare with the release notes / build pipeline for the QA environment</t>
  </si>
  <si>
    <t>The version string matches the build actually deployed to the environment under test.</t>
  </si>
  <si>
    <t>PL-002</t>
  </si>
  <si>
    <t>Advance Filter open</t>
  </si>
  <si>
    <t>GN-034</t>
  </si>
  <si>
    <t>Verify each work order status tile filters the map</t>
  </si>
  <si>
    <t>D365 Sync</t>
  </si>
  <si>
    <t>1. Select the Upcoming tile, then Active, then Completed, checking the map after each</t>
  </si>
  <si>
    <t>A project created and published in D365 F&amp;O</t>
  </si>
  <si>
    <t>Verify the Environment label matches the environment under test</t>
  </si>
  <si>
    <t>Verify a project syncs from D365 into the Planning tab</t>
  </si>
  <si>
    <t>1. Read the Environment value</t>
  </si>
  <si>
    <t>Only plots matching the selected status remain highlighted after each selection.</t>
  </si>
  <si>
    <t>1. Create and publish a project in D365
2. Wait for the sync batch job
3. Open Planning and locate the project</t>
  </si>
  <si>
    <t>It reads the QA environment name on the QA site. A production build must never display a QA label or vice versa.</t>
  </si>
  <si>
    <t>The project appears in the Planning tab within the expected sync window, with its job number, job name and growing item intact.</t>
  </si>
  <si>
    <t>GN-035</t>
  </si>
  <si>
    <t>PL-003</t>
  </si>
  <si>
    <t>Verify the Help link opens the documentation location</t>
  </si>
  <si>
    <t>1. Click 'Help'</t>
  </si>
  <si>
    <t>The configured help/documentation location opens in a new tab and is reachable by the tester's account (no 404 or auth wall).</t>
  </si>
  <si>
    <t>Projects synced for more than one farm</t>
  </si>
  <si>
    <t>Verify each project is associated with the correct farm</t>
  </si>
  <si>
    <t>1. Browse the farm panel and inspect the projects under each farm</t>
  </si>
  <si>
    <t>GN-036</t>
  </si>
  <si>
    <t>Each project appears only under its associated farm; no project is duplicated across farms.</t>
  </si>
  <si>
    <t>Admin and non-admin accounts available</t>
  </si>
  <si>
    <t>Verify Sync Console visibility is role-gated</t>
  </si>
  <si>
    <t>1. As an admin open the user menu and click 'Sync Console'
2. Repeat with a non-admin account, then deep-link directly to the Sync Console route</t>
  </si>
  <si>
    <t>MP-030</t>
  </si>
  <si>
    <t>Admins reach the console; non-admins neither see the menu entry nor reach it by direct URL - they receive an access-denied response.</t>
  </si>
  <si>
    <t>PL-004</t>
  </si>
  <si>
    <t>A project created for a specific plot in D365</t>
  </si>
  <si>
    <t>Verify project-to-plot association</t>
  </si>
  <si>
    <t>Verify the Start Date and End Date filters accept and apply a range</t>
  </si>
  <si>
    <t>1. Sync the project
2. Locate it in Planning</t>
  </si>
  <si>
    <t>GN-037</t>
  </si>
  <si>
    <t>The project appears only under the correct plot within the correct farm.</t>
  </si>
  <si>
    <t>1. Set a valid Start Date and End Date
2. Apply and observe the map</t>
  </si>
  <si>
    <t>The date picker accepts the values, the map filters to work orders within the range. This has failed before with an unchangeable Jan-1900 default - confirm the fix.</t>
  </si>
  <si>
    <t>Global - Data Grids</t>
  </si>
  <si>
    <t>Any list page</t>
  </si>
  <si>
    <t>Verify default page size and page-size switching</t>
  </si>
  <si>
    <t>1. Open a list page
2. Change the page-size selector to 20, 50 and 100 in turn</t>
  </si>
  <si>
    <t>PL-005</t>
  </si>
  <si>
    <t>The grid reloads with the requested row count each time and the 'Showing X - Y of Z records' label stays accurate.</t>
  </si>
  <si>
    <t>MP-031</t>
  </si>
  <si>
    <t>A synced project with multiple operations</t>
  </si>
  <si>
    <t>Verify project data integrity after sync</t>
  </si>
  <si>
    <t>Verify an end date earlier than the start date is rejected</t>
  </si>
  <si>
    <t>GN-038</t>
  </si>
  <si>
    <t>1. Compare every operation, stage and date on the D365 project against the Planning board</t>
  </si>
  <si>
    <t>1. Set End Date before Start Date and apply</t>
  </si>
  <si>
    <t>Work Orders - Observations</t>
  </si>
  <si>
    <t>All operations, stages and dates match exactly between D365 and the Farm App with no dropped or renamed lines.</t>
  </si>
  <si>
    <t>A clear validation message is shown and no invalid filter is applied.</t>
  </si>
  <si>
    <t>Multi-page list</t>
  </si>
  <si>
    <t>Verify pagination navigation across first/prev/next/last</t>
  </si>
  <si>
    <t>1. Use next, previous, first and last controls in sequence</t>
  </si>
  <si>
    <t>The correct page is rendered each time, no row is duplicated or skipped between pages, and the record label is accurate at every step.</t>
  </si>
  <si>
    <t>PL-006</t>
  </si>
  <si>
    <t>MP-032</t>
  </si>
  <si>
    <t>An operation created in D365 with no stage assigned</t>
  </si>
  <si>
    <t>Advance Filter applied</t>
  </si>
  <si>
    <t>Verify an operation without a stage is not displayed</t>
  </si>
  <si>
    <t>Verify Reset clears all filter criteria</t>
  </si>
  <si>
    <t>GN-039</t>
  </si>
  <si>
    <t>1. Create an operation with no stage in D365
2. Sync and inspect every stage in Planning</t>
  </si>
  <si>
    <t>1. Apply several criteria
2. Click Reset</t>
  </si>
  <si>
    <t>The unassigned operation does not appear under any stage and does not silently attach to the first stage.</t>
  </si>
  <si>
    <t>All criteria are cleared and the map returns to the unfiltered default view.</t>
  </si>
  <si>
    <t>List page with data</t>
  </si>
  <si>
    <t>Verify per-column search filters the grid</t>
  </si>
  <si>
    <t>PL-007</t>
  </si>
  <si>
    <t>1. Click the column search icon
2. Enter a partial value in one column and apply</t>
  </si>
  <si>
    <t>Plot Selection</t>
  </si>
  <si>
    <t>Only rows matching that value in that column remain; clearing the search restores the unfiltered grid.</t>
  </si>
  <si>
    <t>Planning open</t>
  </si>
  <si>
    <t>Verify expanding a field reveals its plots</t>
  </si>
  <si>
    <t>1. Click a field node in the sidebar</t>
  </si>
  <si>
    <t>The node expands showing its plots with project code, crop and primary/secondary designation, and the correct plot count.</t>
  </si>
  <si>
    <t>GN-040</t>
  </si>
  <si>
    <t>MP-033</t>
  </si>
  <si>
    <t>PL-008</t>
  </si>
  <si>
    <t>Verify combining status, operation and date criteria</t>
  </si>
  <si>
    <t>1. Select Active Work Orders + one operation + a date range
2. Apply</t>
  </si>
  <si>
    <t>Only plots satisfying every criterion are highlighted; relaxing one criterion widens the result set predictably.</t>
  </si>
  <si>
    <t>A field expanded</t>
  </si>
  <si>
    <t>Verify selecting a plot loads its planning board</t>
  </si>
  <si>
    <t>1. Click a plot node</t>
  </si>
  <si>
    <t>Verify multiple column searches combine with AND logic</t>
  </si>
  <si>
    <t>1. Apply a search on two different columns at once</t>
  </si>
  <si>
    <t>The work-area header shows Field | Season code - PRJ_xxxxxx | Crop, and the stages and activity cards load for that plot.</t>
  </si>
  <si>
    <t>Only rows satisfying both criteria are returned; removing one criterion widens the result set predictably.</t>
  </si>
  <si>
    <t>MP-034</t>
  </si>
  <si>
    <t>Field Tree</t>
  </si>
  <si>
    <t>GN-041</t>
  </si>
  <si>
    <t>Verify the sidebar renders the Farm &gt; Field &gt; Plot hierarchy</t>
  </si>
  <si>
    <t>1. Inspect the left sidebar
2. Expand a field node</t>
  </si>
  <si>
    <t>PL-009</t>
  </si>
  <si>
    <t>The root shows the farm with field and plot counts; each field node shows number, acreage and its plots.</t>
  </si>
  <si>
    <t>Verify column sorting including dates and numbers</t>
  </si>
  <si>
    <t>1. Click a sortable header once, then again
2. Repeat for a date column and a numeric column</t>
  </si>
  <si>
    <t>A plot selected</t>
  </si>
  <si>
    <t>Rows sort ascending then descending. Dates sort chronologically and numbers numerically - not as text strings.</t>
  </si>
  <si>
    <t>Verify switching to another plot fully reloads the board</t>
  </si>
  <si>
    <t>MP-035</t>
  </si>
  <si>
    <t>1. Select a different plot in the tree</t>
  </si>
  <si>
    <t>Header, stages and activity cards all refresh for the newly selected plot with no residual data from the previous plot.</t>
  </si>
  <si>
    <t>Sidebar rendered</t>
  </si>
  <si>
    <t>GN-042</t>
  </si>
  <si>
    <t>Verify the sidebar search filters the tree</t>
  </si>
  <si>
    <t>1. Type a field number in the sidebar Search box</t>
  </si>
  <si>
    <t>Only matching field/plot nodes remain; clearing the search restores the whole tree.</t>
  </si>
  <si>
    <t>Verify the 'Refresh Data' control reloads the grid</t>
  </si>
  <si>
    <t>1. Click Refresh Data
2. Observe the loading state and the returned data</t>
  </si>
  <si>
    <t>A loading indicator appears, a fresh request is issued, and records created elsewhere since page load now appear.</t>
  </si>
  <si>
    <t>MP-036</t>
  </si>
  <si>
    <t>Work Orders - Harvest</t>
  </si>
  <si>
    <t>GN-043</t>
  </si>
  <si>
    <t>Verify searching for a non-existent field</t>
  </si>
  <si>
    <t>PL-010</t>
  </si>
  <si>
    <t>1. Type a value that matches nothing (e.g. 'ZZZZ')</t>
  </si>
  <si>
    <t>An empty/no-match state is shown, the app does not error and the search can be cleared.</t>
  </si>
  <si>
    <t>A filter that matches nothing</t>
  </si>
  <si>
    <t>Verify empty-state handling</t>
  </si>
  <si>
    <t>1. Search a column for a value that does not exist</t>
  </si>
  <si>
    <t>Verify sidebar search locates a plot by project code or field number</t>
  </si>
  <si>
    <t>A clear 'No records found' empty state is shown instead of a blank grid or an endless spinner, and the filter can be cleared from that state.</t>
  </si>
  <si>
    <t>1. Type a project code into the sidebar Search box
2. Select the result</t>
  </si>
  <si>
    <t>Matching nodes are filtered and the selected plot loads correctly; clearing the search restores the tree.</t>
  </si>
  <si>
    <t>MP-037</t>
  </si>
  <si>
    <t>GN-044</t>
  </si>
  <si>
    <t>Verify selecting a field focuses it on the map</t>
  </si>
  <si>
    <t>Global - Error Handling</t>
  </si>
  <si>
    <t>PL-011</t>
  </si>
  <si>
    <t>The map pans/zooms to that field, the polygon is highlighted and the node is marked as selected.</t>
  </si>
  <si>
    <t>Any page</t>
  </si>
  <si>
    <t>Plot Configuration</t>
  </si>
  <si>
    <t>Verify a failed API call does not strand the user on a dead-end screen</t>
  </si>
  <si>
    <t>1. Trigger a failing request (block the API in devtools or open a known failing tab)
2. Observe the page</t>
  </si>
  <si>
    <t>An inline error or toast is shown with a retry path. The user retains working navigation and is not forced into a full page reload.</t>
  </si>
  <si>
    <t>Verify the Plot Configuration panel shows plot attributes</t>
  </si>
  <si>
    <t>MP-038</t>
  </si>
  <si>
    <t>1. Click 'Plot Configuration'</t>
  </si>
  <si>
    <t>The panel expands showing Crop, Plot Area (ac) and No. of rows / Plot for the selected plot.</t>
  </si>
  <si>
    <t>A field selected</t>
  </si>
  <si>
    <t>GN-045</t>
  </si>
  <si>
    <t>Verify field acreage is consistent across tree, map label and Details panel</t>
  </si>
  <si>
    <t>1. Note the acreage on the sidebar node, the map label and the Details aside for the same field</t>
  </si>
  <si>
    <t>All three values are identical to two decimal places.</t>
  </si>
  <si>
    <t>PL-012</t>
  </si>
  <si>
    <t>Verify an unknown route renders the 404 page</t>
  </si>
  <si>
    <t>1. Navigate to https://agrierp-vann-qa.folio3.site/this-does-not-exist</t>
  </si>
  <si>
    <t>Plot Configuration open</t>
  </si>
  <si>
    <t>The custom 404 page is shown with a working route back into the application; no raw framework error is exposed.</t>
  </si>
  <si>
    <t>Verify plot area matches the Maps module and the field record</t>
  </si>
  <si>
    <t>1. Note Plot Area in Plot Configuration
2. Compare with the same plot/field acreage on Maps</t>
  </si>
  <si>
    <t>Values are identical to two decimal places across Planning, Maps and the underlying field record.</t>
  </si>
  <si>
    <t>MP-039</t>
  </si>
  <si>
    <t>Field Details</t>
  </si>
  <si>
    <t>GN-046</t>
  </si>
  <si>
    <t>A field selected on the map</t>
  </si>
  <si>
    <t>PL-013</t>
  </si>
  <si>
    <t>Global - Localisation</t>
  </si>
  <si>
    <t>Verify the Details aside opens with Summary and Details tabs</t>
  </si>
  <si>
    <t>1. Click 'Details' on the aside panel
2. Switch between the Summary and Details tabs</t>
  </si>
  <si>
    <t>Default Language = English</t>
  </si>
  <si>
    <t>The aside opens with farm/field information and both tabs render without errors.</t>
  </si>
  <si>
    <t>Verify all visible labels are resolved translation strings</t>
  </si>
  <si>
    <t>1. Walk through every module, list and form
2. Look for raw resource keys or untranslated placeholders</t>
  </si>
  <si>
    <t>A plot with no row configuration</t>
  </si>
  <si>
    <t>No raw i18n keys, no 'undefined' labels and no empty tooltips are shown anywhere in the UI.</t>
  </si>
  <si>
    <t>Verify 'No. of rows / Plot' renders when not configured</t>
  </si>
  <si>
    <t>1. Open a plot with no row configuration</t>
  </si>
  <si>
    <t>The field shows 0 or an explicit 'not set' indicator rather than a blank cell or 'undefined'.</t>
  </si>
  <si>
    <t>MP-040</t>
  </si>
  <si>
    <t>GN-047</t>
  </si>
  <si>
    <t>A field with plots selected</t>
  </si>
  <si>
    <t>PL-014</t>
  </si>
  <si>
    <t>A user with Default Language = Spanish</t>
  </si>
  <si>
    <t>Verify plot-level information in the Details panel</t>
  </si>
  <si>
    <t>Verify the language switch translates the UI</t>
  </si>
  <si>
    <t>Harvest Central</t>
  </si>
  <si>
    <t>1. Select a field with one or more plots
2. Read the Details tab</t>
  </si>
  <si>
    <t>1. Set Default Language to Spanish in User Settings
2. Reload and navigate every module</t>
  </si>
  <si>
    <t>Labels, buttons, validation messages and grid headers render in the selected language; layout does not break on longer strings.</t>
  </si>
  <si>
    <t>Plot/project code, crop, variety, plot area and primary/secondary designation are shown and match the Planning module.</t>
  </si>
  <si>
    <t>Stages</t>
  </si>
  <si>
    <t>GN-048</t>
  </si>
  <si>
    <t>MP-041</t>
  </si>
  <si>
    <t>Verify the stage wizard lists the plot's growth stages</t>
  </si>
  <si>
    <t>Global - Date &amp; Number Format</t>
  </si>
  <si>
    <t>1. Observe the stage tabs above the activity area</t>
  </si>
  <si>
    <t>Stages configured for the crop are listed in the correct order and the current stage is indicated.</t>
  </si>
  <si>
    <t>Field details open</t>
  </si>
  <si>
    <t>Verify totals reconcile: sum of field acreage equals farm Total Area</t>
  </si>
  <si>
    <t>Verify date and time rendering follows the configured format</t>
  </si>
  <si>
    <t>1. Capture each field acreage from the sidebar
2. Sum and compare with 'Total Area' on the Summary tab</t>
  </si>
  <si>
    <t>1. Inspect dates on Work Orders, Harvest Central and Sync History
2. Compare with the configured format and timezone</t>
  </si>
  <si>
    <t>The sum of individual field acreages equals the farm Total Area within the documented rounding tolerance.</t>
  </si>
  <si>
    <t>Dates render in the configured format consistently across modules, and times honour the user's timezone/12-24h preference.</t>
  </si>
  <si>
    <t>PL-015</t>
  </si>
  <si>
    <t>GN-049</t>
  </si>
  <si>
    <t>MP-042</t>
  </si>
  <si>
    <t>Stage wizard visible</t>
  </si>
  <si>
    <t>Verify switching stage filters the activity cards</t>
  </si>
  <si>
    <t>Maps - Session</t>
  </si>
  <si>
    <t>1. Click each stage tab in turn</t>
  </si>
  <si>
    <t>Only activities belonging to the selected stage are displayed and the card count changes accordingly.</t>
  </si>
  <si>
    <t>Verify site switch re-renders the map for the new site</t>
  </si>
  <si>
    <t>Global - Access Control</t>
  </si>
  <si>
    <t>1. Switch Site while on Maps</t>
  </si>
  <si>
    <t>The map re-centres on the new farm and the tree, counters and total area reload; no polygons from the previous site remain.</t>
  </si>
  <si>
    <t>Two accounts with different roles</t>
  </si>
  <si>
    <t>PL-016</t>
  </si>
  <si>
    <t>Verify role-based visibility and enforcement of actions</t>
  </si>
  <si>
    <t>1. Log in as a restricted role
2. Compare available actions (Create, Edit, Delete, Post Ticket, Sync Console) against an admin
3. Attempt a restricted action by direct URL or API call</t>
  </si>
  <si>
    <t>Restricted actions are hidden in the UI and also rejected server-side when invoked directly - visibility alone is not the control.</t>
  </si>
  <si>
    <t>A plot with tasks across several stages</t>
  </si>
  <si>
    <t>Verify stage-wise task grouping matches D365</t>
  </si>
  <si>
    <t>1. Expand each stage and compare the task list with the D365 project WBS</t>
  </si>
  <si>
    <t>MP-043</t>
  </si>
  <si>
    <t>Tasks are grouped under their designated stages exactly as defined in D365.</t>
  </si>
  <si>
    <t>GN-050</t>
  </si>
  <si>
    <t>iOS - App Shell</t>
  </si>
  <si>
    <t>Verify season switch updates plot and stage data on the map</t>
  </si>
  <si>
    <t>PL-017</t>
  </si>
  <si>
    <t>Verify the dashboard tiles render for the signed-in role</t>
  </si>
  <si>
    <t>1. Switch Season and observe the tree and layer shading</t>
  </si>
  <si>
    <t>1. Log in
2. Inspect the dashboard tiles</t>
  </si>
  <si>
    <t>Plot/project nodes and stage shading update to the selected crop year while season-independent geometry is unchanged.</t>
  </si>
  <si>
    <t>Tiles for Map, Work Orders, Inspection, Point of Interest and any other entitled modules render, and tiles the role has no rights to are absent.</t>
  </si>
  <si>
    <t>A stage with no activities</t>
  </si>
  <si>
    <t>Verify empty-state for a stage with no activities</t>
  </si>
  <si>
    <t>1. Select a stage that has no activities</t>
  </si>
  <si>
    <t>MP-044</t>
  </si>
  <si>
    <t>A clear empty state is shown rather than a blank panel or an endless loader.</t>
  </si>
  <si>
    <t>GN-051</t>
  </si>
  <si>
    <t>Maps open with a field selected</t>
  </si>
  <si>
    <t>Verify state after a browser refresh</t>
  </si>
  <si>
    <t>1. Select a field, then press F5</t>
  </si>
  <si>
    <t>Verify Grower / Location / Season selection in the mobile profile</t>
  </si>
  <si>
    <t>PL-018</t>
  </si>
  <si>
    <t>The app reloads to a valid Maps state without error; the selection is either restored or cleanly reset per design.</t>
  </si>
  <si>
    <t>Template Management</t>
  </si>
  <si>
    <t>1. Open the profile section
2. Change Grower, then Location, then Season</t>
  </si>
  <si>
    <t>Each selector lists only entitled values, changing the grower re-filters the location list, and the selection is applied to the dashboard data.</t>
  </si>
  <si>
    <t>Activity Filters</t>
  </si>
  <si>
    <t>A plot with activities in mixed statuses</t>
  </si>
  <si>
    <t>MP-045</t>
  </si>
  <si>
    <t>Verify the Tags filter row lists all status filters</t>
  </si>
  <si>
    <t>1. Observe the 'Tags:' row</t>
  </si>
  <si>
    <t>GN-052</t>
  </si>
  <si>
    <t>iOS - Map Tile</t>
  </si>
  <si>
    <t>Filters shown are All Activities, New, Draft, To Do, In Progress, Review, Done and Cancelled.</t>
  </si>
  <si>
    <t>Logged-in iOS session with map data</t>
  </si>
  <si>
    <t>Verify the Map tile opens and renders plots</t>
  </si>
  <si>
    <t>1. Log in to the iOS app
2. Tap the Map tile</t>
  </si>
  <si>
    <t>Verify the app version and environment shown in the mobile app</t>
  </si>
  <si>
    <t>The map renders the plots for the selected grower/location/season with correct shading and no blank tiles.</t>
  </si>
  <si>
    <t>1. Open the app menu / About screen</t>
  </si>
  <si>
    <t>PL-019</t>
  </si>
  <si>
    <t>The build number matches the build under test and the environment label reads QA, not production.</t>
  </si>
  <si>
    <t>Tags row visible</t>
  </si>
  <si>
    <t>Verify each status tag filters the activity cards correctly</t>
  </si>
  <si>
    <t>1. Click each tag in turn
2. Inspect the status badge on the remaining cards</t>
  </si>
  <si>
    <t>GN-053</t>
  </si>
  <si>
    <t>Every visible card carries the selected status; 'All Activities' returns the union of all statuses.</t>
  </si>
  <si>
    <t>iOS app freshly installed</t>
  </si>
  <si>
    <t>Verify first-run permission prompts are requested correctly</t>
  </si>
  <si>
    <t>1. Install a fresh build and launch
2. Observe the permission prompts for Location, Camera, Microphone, Photos and Notifications</t>
  </si>
  <si>
    <t>PL-020</t>
  </si>
  <si>
    <t>Each permission is requested with a clear purpose string at the point it is needed, and denying one degrades only that feature rather than blocking the app.</t>
  </si>
  <si>
    <t>MP-046</t>
  </si>
  <si>
    <t>A status tag selected</t>
  </si>
  <si>
    <t>Map open on iOS</t>
  </si>
  <si>
    <t>Verify the tag selection behaviour across a stage switch</t>
  </si>
  <si>
    <t>Verify To Do work orders appear under Upcoming Work Order</t>
  </si>
  <si>
    <t>1. Tap the Map tile
2. Open the Upcoming Work Order section</t>
  </si>
  <si>
    <t>Every work order in To Do status for the selected scope is listed, and the count matches the web Work Orders list filtered to To Do.</t>
  </si>
  <si>
    <t>GN-054</t>
  </si>
  <si>
    <t>Location permission denied</t>
  </si>
  <si>
    <t>Verify graceful behaviour when Location permission is denied</t>
  </si>
  <si>
    <t>1. Deny Location permission
2. Open Map, then attempt to create an observation</t>
  </si>
  <si>
    <t>MP-047</t>
  </si>
  <si>
    <t>1. Select the 'In Progress' tag
2. Switch to another stage</t>
  </si>
  <si>
    <t>The app explains that location is required, offers a route to iOS Settings, and does not crash or silently record a null coordinate.</t>
  </si>
  <si>
    <t>Behaviour is consistent and documented - either the tag persists and filters the new stage, or it resets - and is the same on every stage.</t>
  </si>
  <si>
    <t>Inspection work orders in To Do status exist</t>
  </si>
  <si>
    <t>Verify To Do inspection work orders appear under Upcoming Work Order</t>
  </si>
  <si>
    <t>1. Open the Upcoming Work Order section on the Map tile</t>
  </si>
  <si>
    <t>To Do inspection work orders are listed alongside standard work orders as designed.</t>
  </si>
  <si>
    <t>GN-055</t>
  </si>
  <si>
    <t>PL-021</t>
  </si>
  <si>
    <t>Activity Cards</t>
  </si>
  <si>
    <t>Verify pull-to-refresh on the dashboard and list screens</t>
  </si>
  <si>
    <t>A plot with activities</t>
  </si>
  <si>
    <t>1. Create a work order on web
2. On iOS pull down to refresh the relevant list</t>
  </si>
  <si>
    <t>MP-048</t>
  </si>
  <si>
    <t>Verify each activity card shows the required information</t>
  </si>
  <si>
    <t>The list re-fetches from the server, the spinner terminates, and the new record appears.</t>
  </si>
  <si>
    <t>1. Inspect an activity card</t>
  </si>
  <si>
    <t>The card shows task name with code, date range, progress, status badge and the linked work order reference.</t>
  </si>
  <si>
    <t>In Progress work orders exist</t>
  </si>
  <si>
    <t>Verify In Progress work orders appear under Active Work Order</t>
  </si>
  <si>
    <t>1. Open the Active Work Order section</t>
  </si>
  <si>
    <t>GN-056</t>
  </si>
  <si>
    <t>PL-022</t>
  </si>
  <si>
    <t>All In Progress work orders for the scope are listed and match the web list filtered to In Progress.</t>
  </si>
  <si>
    <t>Activity cards visible</t>
  </si>
  <si>
    <t>Verify the progress bar matches the numeric progress</t>
  </si>
  <si>
    <t>Verify app behaviour on background and resume</t>
  </si>
  <si>
    <t>1. Compare the progress bar fill with the stated percentage/area completed on several cards</t>
  </si>
  <si>
    <t>MP-049</t>
  </si>
  <si>
    <t>Bar fill visually matches the numeric value on every card checked; a 0% card shows an empty bar and a 100% card a full one.</t>
  </si>
  <si>
    <t>Communication Center</t>
  </si>
  <si>
    <t>1. Open a work order
2. Background the app for 5 minutes
3. Resume</t>
  </si>
  <si>
    <t>The app resumes on the same screen with data intact, refreshes stale data where required, and does not force a re-login while the token is valid.</t>
  </si>
  <si>
    <t>PL-023</t>
  </si>
  <si>
    <t>Work orders completed from the mobile app exist</t>
  </si>
  <si>
    <t>Verify mobile-completed work orders appear under Completed Work Order</t>
  </si>
  <si>
    <t>1. Complete a work order on iOS
2. Open the Completed Work Order section</t>
  </si>
  <si>
    <t>GN-057</t>
  </si>
  <si>
    <t>The completed work order is listed. This is a known regression area - confirm it appears without needing a reinstall.</t>
  </si>
  <si>
    <t>iOS - Compatibility</t>
  </si>
  <si>
    <t>Verify the WO reference on a card matches the Work Orders module</t>
  </si>
  <si>
    <t>1. Note the WO number on a card
2. Search the same WO number in Work Orders</t>
  </si>
  <si>
    <t>Two iOS devices of different sizes (e.g. iPhone SE and iPhone Pro Max)</t>
  </si>
  <si>
    <t>The work order exists with the same task, dates and status as shown on the card.</t>
  </si>
  <si>
    <t>Verify layout on small and large iPhone screens</t>
  </si>
  <si>
    <t>MP-050</t>
  </si>
  <si>
    <t>1. Run the core flows on both devices
2. Inspect headers, lists, forms and modals</t>
  </si>
  <si>
    <t>No text truncation, overlap or off-screen controls on either device; tap targets remain reachable and scrollable areas scroll fully.</t>
  </si>
  <si>
    <t>Inspection work orders in progress and completed</t>
  </si>
  <si>
    <t>Compatibility</t>
  </si>
  <si>
    <t>Verify the Active and Completed Inspection sections</t>
  </si>
  <si>
    <t>PL-024</t>
  </si>
  <si>
    <t>1. Open the Active Inspection section, then Completed Inspection</t>
  </si>
  <si>
    <t>Each section lists only inspection work orders in the corresponding status.</t>
  </si>
  <si>
    <t>GN-058</t>
  </si>
  <si>
    <t>Two work orders created for the same operation in one stage</t>
  </si>
  <si>
    <t>Verify multiple work orders for one operation create separate tasks</t>
  </si>
  <si>
    <t>1. Create two work orders against the same operation
2. Open the Planning board for that plot</t>
  </si>
  <si>
    <t>Each work order produces its own task card, both visible under the stage, with no merging or overwriting.</t>
  </si>
  <si>
    <t>MP-051</t>
  </si>
  <si>
    <t>iPad available</t>
  </si>
  <si>
    <t>Verify the app renders acceptably on iPad</t>
  </si>
  <si>
    <t>1. Install and run the core flows on iPad in portrait and landscape</t>
  </si>
  <si>
    <t>The layout is usable at tablet size (scaled or adaptive per design), with no clipped controls and no broken map rendering.</t>
  </si>
  <si>
    <t>Multiple seasons configured</t>
  </si>
  <si>
    <t>PL-025</t>
  </si>
  <si>
    <t>Verify season selection and season change on the mobile map</t>
  </si>
  <si>
    <t>1. Select a season from the map filters
2. Change to a different season and observe the plots</t>
  </si>
  <si>
    <t>The plot set and associated work orders refresh to the selected season with correct results - a known defect area for incorrect filtered results.</t>
  </si>
  <si>
    <t>Two tasks exist for the same operation</t>
  </si>
  <si>
    <t>GN-059</t>
  </si>
  <si>
    <t>Verify each task keeps an independent status</t>
  </si>
  <si>
    <t>1. Move the first work order to In Progress and leave the second in To Do
2. Refresh the board</t>
  </si>
  <si>
    <t>Each card reflects the status of its own linked work order independently.</t>
  </si>
  <si>
    <t>Latest and minimum supported iOS versions available</t>
  </si>
  <si>
    <t>MP-052</t>
  </si>
  <si>
    <t>Verify the app runs on the minimum supported iOS version</t>
  </si>
  <si>
    <t>1. Install on a device running the minimum supported iOS version
2. Execute the smoke path (login, map, start job, enter progress, end job)</t>
  </si>
  <si>
    <t>Crops configured with batch orders</t>
  </si>
  <si>
    <t>All smoke steps complete without crash or visual defect on the minimum supported OS version.</t>
  </si>
  <si>
    <t>Verify crop selection reflects the latest batch order</t>
  </si>
  <si>
    <t>PL-026</t>
  </si>
  <si>
    <t>1. Open the Crop filter on the map</t>
  </si>
  <si>
    <t>The crop shown for each plot is derived from the latest batch order as specified.</t>
  </si>
  <si>
    <t>Activity Detail</t>
  </si>
  <si>
    <t>An activity card visible</t>
  </si>
  <si>
    <t>Settings</t>
  </si>
  <si>
    <t>Verify selecting a card opens the Summary aside</t>
  </si>
  <si>
    <t>1. Click an activity card</t>
  </si>
  <si>
    <t>The aside opens with the Summary panel populated for that activity.</t>
  </si>
  <si>
    <t>PL-027</t>
  </si>
  <si>
    <t>GN-060</t>
  </si>
  <si>
    <t>MP-053</t>
  </si>
  <si>
    <t>iOS - Accessibility</t>
  </si>
  <si>
    <t>Summary aside open</t>
  </si>
  <si>
    <t>Verify Dynamic Type and dark mode do not break layouts</t>
  </si>
  <si>
    <t>Verify the General section of the activity summary</t>
  </si>
  <si>
    <t>1. Set a larger text size in iOS Settings and enable dark mode
2. Navigate the main screens</t>
  </si>
  <si>
    <t>1. Read the General section</t>
  </si>
  <si>
    <t>Text scales without clipping or overlap, contrast remains legible in dark mode, and no control becomes unreachable.</t>
  </si>
  <si>
    <t>Title, Start Date, End Date and Activity Status are displayed and match the card.</t>
  </si>
  <si>
    <t>Accessibility</t>
  </si>
  <si>
    <t>Plots with work orders in mixed statuses</t>
  </si>
  <si>
    <t>Verify the Stages view shows To Do, In Progress and Completed work orders</t>
  </si>
  <si>
    <t>1. Switch the map view to Stages
2. Check plots with each status</t>
  </si>
  <si>
    <t>Work orders in all three statuses surface correctly in the Stages view. Multiple work orders on one plot must all be represented per the agreed rule.</t>
  </si>
  <si>
    <t>Total estimate (min)</t>
  </si>
  <si>
    <t>PL-028</t>
  </si>
  <si>
    <t>Verify the Materials section lists assigned materials</t>
  </si>
  <si>
    <t>1. Read the Materials section</t>
  </si>
  <si>
    <t>Each assigned material is listed with name and item code; an activity with no materials shows a clear empty state.</t>
  </si>
  <si>
    <t>PL-029</t>
  </si>
  <si>
    <t>MP-054</t>
  </si>
  <si>
    <t>Verify the Resources section lists assigned resources</t>
  </si>
  <si>
    <t>1. Read the Resources section</t>
  </si>
  <si>
    <t>Assigned resources are listed with name and code and match the work order's resource list.</t>
  </si>
  <si>
    <t>Verify the Operations view shows To Do, In Progress and Completed work orders</t>
  </si>
  <si>
    <t>1. Switch the map view to Operations
2. Check plots with each status</t>
  </si>
  <si>
    <t>Work orders in all three statuses are represented correctly under their operation grouping.</t>
  </si>
  <si>
    <t>PL-030</t>
  </si>
  <si>
    <t>MP-055</t>
  </si>
  <si>
    <t>Verify the Assets section lists assigned assets</t>
  </si>
  <si>
    <t>1. Read the Assets section</t>
  </si>
  <si>
    <t>iOS - Advance Filter</t>
  </si>
  <si>
    <t>Assigned assets are listed with description and asset number and match the work order.</t>
  </si>
  <si>
    <t>Total estimate (hrs)</t>
  </si>
  <si>
    <t>Verify all Advance Filter tiles are present and functional</t>
  </si>
  <si>
    <t>1. Open Advance Filter
2. Exercise Upcoming WO, Active WO, Completed WO, Active Inspection and Completed Inspection tiles</t>
  </si>
  <si>
    <t>Each tile is visible, selectable and filters the map to the corresponding record set.</t>
  </si>
  <si>
    <t>PL-031</t>
  </si>
  <si>
    <t>Verify the Hour Log section shows budgeted and consumed hours</t>
  </si>
  <si>
    <t>1. Read Budgeted Hours and Consumed Hours</t>
  </si>
  <si>
    <t>MP-056</t>
  </si>
  <si>
    <t>Both are shown in hh:mm format; a zero value renders as 00h:00m rather than blank.</t>
  </si>
  <si>
    <t>Advance Filter open on iOS</t>
  </si>
  <si>
    <t>Verify Operations, Seasons and Farms filters</t>
  </si>
  <si>
    <t>1. Apply each filter in turn and observe the map</t>
  </si>
  <si>
    <t>Each filter narrows the plotted set correctly and the selections are reflected in the filter summary.</t>
  </si>
  <si>
    <t>PL-032</t>
  </si>
  <si>
    <t>An activity with hours logged from the mobile app</t>
  </si>
  <si>
    <t>Verify consumed hours reconcile with mobile submissions</t>
  </si>
  <si>
    <t>1. Log hours against an activity from the iOS app
2. Sync and reopen the activity summary on web</t>
  </si>
  <si>
    <t>Consumed hours equal the sum of the mobile submissions. Hours logged vs hours consumed mismatch is a known defect area - verify exactly.</t>
  </si>
  <si>
    <t>MP-057</t>
  </si>
  <si>
    <t>Verify Start Date and End Date filters on mobile</t>
  </si>
  <si>
    <t>Users, Roles &amp; Permissions</t>
  </si>
  <si>
    <t>PL-033</t>
  </si>
  <si>
    <t>1. Set a Start Date and End Date and apply</t>
  </si>
  <si>
    <t>Actual Tab</t>
  </si>
  <si>
    <t>The date pickers accept valid input, an inverted range is rejected, and the map filters to the selected window.</t>
  </si>
  <si>
    <t>A completed work order with ad-hoc resources</t>
  </si>
  <si>
    <t>Verify ad-hoc resources are visible in the Actual tab</t>
  </si>
  <si>
    <t>1. Complete a work order that used ad-hoc resources
2. Open Planning &gt; Actual for the plot</t>
  </si>
  <si>
    <t>Ad-hoc resources appear in the Actual tab with their consumption details.</t>
  </si>
  <si>
    <t>PL-034</t>
  </si>
  <si>
    <t>A completed work order with ad-hoc materials</t>
  </si>
  <si>
    <t>Verify ad-hoc materials are visible in the Actual tab</t>
  </si>
  <si>
    <t>1. Complete a work order that used ad-hoc materials
2. Open Planning &gt; Actual</t>
  </si>
  <si>
    <t>MP-058</t>
  </si>
  <si>
    <t>Ad-hoc materials appear with the correct consumed quantity and unit.</t>
  </si>
  <si>
    <t>iOS - Map Config</t>
  </si>
  <si>
    <t>Map Toggle Configuration set on web</t>
  </si>
  <si>
    <t>Verify configured colours are applied on the mobile map</t>
  </si>
  <si>
    <t>1. Configure colours on web for work order statuses, crops, stages and operations
2. Open the mobile map and check each view</t>
  </si>
  <si>
    <t>Mobile rendering uses exactly the colours configured on web, with no hard-coded fallbacks.</t>
  </si>
  <si>
    <t>PL-035</t>
  </si>
  <si>
    <t>A completed work order with ad-hoc assets</t>
  </si>
  <si>
    <t>Verify ad-hoc assets are visible in the Actual tab</t>
  </si>
  <si>
    <t>MP-059</t>
  </si>
  <si>
    <t>1. Complete a work order that used ad-hoc assets
2. Open Planning &gt; Actual</t>
  </si>
  <si>
    <t>Ad-hoc assets appear with their usage hours.</t>
  </si>
  <si>
    <t>Verify inspection flags render on the mobile map</t>
  </si>
  <si>
    <t>1. Check the map for active and completed inspection work orders</t>
  </si>
  <si>
    <t>A flag/indicator is drawn for each and is visually distinguishable between active and completed.</t>
  </si>
  <si>
    <t>PL-036</t>
  </si>
  <si>
    <t>Planning - Chat</t>
  </si>
  <si>
    <t>Verify 'Create/open group chat' from the planning board</t>
  </si>
  <si>
    <t>MP-060</t>
  </si>
  <si>
    <t>1. Click the 'Create/open group chat' action</t>
  </si>
  <si>
    <t>A group conversation for the plot/activity is created or opened in the Communication Center with the correct participants.</t>
  </si>
  <si>
    <t>Verify tapping a plot opens its detail summary</t>
  </si>
  <si>
    <t>1. Tap a plot polygon on the mobile map</t>
  </si>
  <si>
    <t>A detail sheet opens with plot code, crop, area and any linked work orders, and closes cleanly.</t>
  </si>
  <si>
    <t>PL-037</t>
  </si>
  <si>
    <t>Planning - Refresh</t>
  </si>
  <si>
    <t>MP-061</t>
  </si>
  <si>
    <t>Device with intermittent connectivity</t>
  </si>
  <si>
    <t>Verify 'Refresh Data' reloads the planning board</t>
  </si>
  <si>
    <t>Verify map behaviour when the network drops mid-render</t>
  </si>
  <si>
    <t>1. Create a work order in another session
2. Click Refresh Data on the planning board</t>
  </si>
  <si>
    <t>1. Open the map, then disable the network while tiles are loading</t>
  </si>
  <si>
    <t>The new activity appears without a full page reload.</t>
  </si>
  <si>
    <t>The app shows an offline/no-connection indicator, retains any already-rendered data, and recovers when connectivity returns without a restart.</t>
  </si>
  <si>
    <t>PL-038</t>
  </si>
  <si>
    <t>Planning - Sync</t>
  </si>
  <si>
    <t>An activity completed on the mobile app</t>
  </si>
  <si>
    <t>Verify status changes propagate to the planning board</t>
  </si>
  <si>
    <t>1. Complete an activity on the iOS app
2. Sync and refresh the planning board</t>
  </si>
  <si>
    <t>The card's status badge and progress update to reflect the completion.</t>
  </si>
  <si>
    <t>PL-039</t>
  </si>
  <si>
    <t>Planning - Context</t>
  </si>
  <si>
    <t>Planning open with a plot selected</t>
  </si>
  <si>
    <t>Verify site switch resets the planning context safely</t>
  </si>
  <si>
    <t>1. Switch Site while a plot is selected</t>
  </si>
  <si>
    <t>The board resets to the empty state or loads a valid plot for the new site; no stale plot from the previous site remains selected.</t>
  </si>
  <si>
    <t>Sync Console &amp; D365</t>
  </si>
  <si>
    <t>PL-040</t>
  </si>
  <si>
    <t>Verify season switch reloads season-specific projects</t>
  </si>
  <si>
    <t>1. Switch Season and re-inspect the tree</t>
  </si>
  <si>
    <t>The tree reloads with the selected season's projects; a plot selected in the previous season is not silently carried over.</t>
  </si>
  <si>
    <t>PL-041</t>
  </si>
  <si>
    <t>Planning - Permissions</t>
  </si>
  <si>
    <t>A non-manager role account</t>
  </si>
  <si>
    <t>Verify Planning respects role permissions</t>
  </si>
  <si>
    <t>1. Open Planning as a restricted role
2. Attempt any create/edit action offered</t>
  </si>
  <si>
    <t>Read-only roles can browse but cannot trigger creation or edits; restricted actions are hidden and rejected server-side.</t>
  </si>
  <si>
    <t>iOS Offline &amp; Sync</t>
  </si>
  <si>
    <t>Attachments &amp; PDF Export</t>
  </si>
  <si>
    <t>Weather &amp; Location Tracking</t>
  </si>
  <si>
    <t>Cross-Cutting &amp; NFR</t>
  </si>
  <si>
    <t>TOTAL</t>
  </si>
  <si>
    <t>Cycle planning</t>
  </si>
  <si>
    <t>Total test cases</t>
  </si>
  <si>
    <t>Total manual effort (hours)</t>
  </si>
  <si>
    <t>Total manual effort (person-days @ 6 productive hrs)</t>
  </si>
  <si>
    <t>Full regression - elapsed days, 1 tester</t>
  </si>
  <si>
    <t>Full regression - elapsed days, 2 testers</t>
  </si>
  <si>
    <t>Full regression - elapsed days, 3 testers</t>
  </si>
  <si>
    <t>Contingency for defect logging &amp; re-test (+30%)</t>
  </si>
  <si>
    <t>Recommended budget including contingency (hours)</t>
  </si>
  <si>
    <t>P1 (critical) cases</t>
  </si>
  <si>
    <t>Web-only cases</t>
  </si>
  <si>
    <t>iOS-only cases</t>
  </si>
  <si>
    <t>Cross-platform (Web + iOS) cases</t>
  </si>
  <si>
    <t>Open defects on the Defect Log</t>
  </si>
  <si>
    <t>High-severity open defects</t>
  </si>
  <si>
    <t>Overall pass rate (executed cases)</t>
  </si>
  <si>
    <t>Execution coverage</t>
  </si>
  <si>
    <t>Health score  (pass rate x execution coverage)</t>
  </si>
  <si>
    <t>AgriERP / AgriFarm  -  Vann Brothers Regression Suite  |  Work Orders - Planned</t>
  </si>
  <si>
    <t>Health score reading:   &gt;= 95% healthy   |   85-94% acceptable, fix P1 failures before sign-off   |   &lt; 85% not fit for release</t>
  </si>
  <si>
    <t>WP-001</t>
  </si>
  <si>
    <t>AgriERP / AgriFarm  -  Vann Brothers Regression Suite  |  Work Orders - Inspection</t>
  </si>
  <si>
    <t>List - Load</t>
  </si>
  <si>
    <t>Verify the Work Orders module loads the default list</t>
  </si>
  <si>
    <t>1. Click 'Work Orders' in the header</t>
  </si>
  <si>
    <t>The route resolves to /workorders, the Work Orders tab is active, the 'All' status filter is selected and the grid renders with data.</t>
  </si>
  <si>
    <t>WP-002</t>
  </si>
  <si>
    <t>List - Columns</t>
  </si>
  <si>
    <t>Work Orders list open</t>
  </si>
  <si>
    <t>Verify all expected columns are present</t>
  </si>
  <si>
    <t>1. Inspect the grid header</t>
  </si>
  <si>
    <t>Columns are WO Sequence No., WO Name, Priority, WO Start Date, WO End Date, Farm, Plots, Progress, Task, Materials, Status, Submitted By, Responsible and Actions.</t>
  </si>
  <si>
    <t>WP-003</t>
  </si>
  <si>
    <t>List - Tabs</t>
  </si>
  <si>
    <t>Verify the work-order type tabs are present and switchable</t>
  </si>
  <si>
    <t>WI-001</t>
  </si>
  <si>
    <t>1. Click Work Orders, Inspection Work Orders, Harvest Work Orders and Observations in turn</t>
  </si>
  <si>
    <t>Each tab loads its own dataset and column set without error and the active tab is highlighted.</t>
  </si>
  <si>
    <t>Work Orders module open</t>
  </si>
  <si>
    <t>Verify the Inspection Work Orders tab loads</t>
  </si>
  <si>
    <t>WP-004</t>
  </si>
  <si>
    <t>1. Click the 'Inspection Work Orders' tab</t>
  </si>
  <si>
    <t>The tab loads its own dataset without error and only inspection-type work orders are listed.</t>
  </si>
  <si>
    <t>List - Status Filters</t>
  </si>
  <si>
    <t>Verify the status filter chips are present</t>
  </si>
  <si>
    <t>1. Inspect the filter row</t>
  </si>
  <si>
    <t>Chips are All, Queue, Draft, To Do, In Progress, Review and Done.</t>
  </si>
  <si>
    <t>WP-005</t>
  </si>
  <si>
    <t>Verify each status filter returns only matching work orders</t>
  </si>
  <si>
    <t>1. Click each status chip in turn
2. Inspect the Status column of the results</t>
  </si>
  <si>
    <t>Every returned row carries the selected status; 'All' returns the union and the record count updates each time.</t>
  </si>
  <si>
    <t>WI-002</t>
  </si>
  <si>
    <t>Inspection Work Orders tab open</t>
  </si>
  <si>
    <t>Verify the Inspection Work Orders column set</t>
  </si>
  <si>
    <t>WP-006</t>
  </si>
  <si>
    <t>Columns include WO Sequence No., WO Name, Priority, Start/End Date, Farm, Plots, Progress, Task, Inspection Template, Status, Submitted By and Actions.</t>
  </si>
  <si>
    <t>A status filter applied</t>
  </si>
  <si>
    <t>Verify the status filter combines with column search</t>
  </si>
  <si>
    <t>1. Select 'To Do'
2. Search WO Name for a partial term</t>
  </si>
  <si>
    <t>Only rows matching both the status and the search term are returned.</t>
  </si>
  <si>
    <t>WI-003</t>
  </si>
  <si>
    <t>List - Filters</t>
  </si>
  <si>
    <t>Verify status filters and column search on the inspection list</t>
  </si>
  <si>
    <t>1. Apply each status chip, then search by WO Name and by Inspection Template</t>
  </si>
  <si>
    <t>Filtering and searching return only matching inspection work orders and combine correctly.</t>
  </si>
  <si>
    <t>WI-004</t>
  </si>
  <si>
    <t>WP-007</t>
  </si>
  <si>
    <t>Create</t>
  </si>
  <si>
    <t>List - Filter Panel</t>
  </si>
  <si>
    <t>An Active/Published inspection template exists</t>
  </si>
  <si>
    <t>Verify Inspection Work Order creation</t>
  </si>
  <si>
    <t>Verify the advanced filter panel opens with Apply and Reset</t>
  </si>
  <si>
    <t>1. Click Create New Work Order
2. Select the Inspection type
3. Select an active inspection template
4. Complete required fields and submit</t>
  </si>
  <si>
    <t>1. Click 'Filter'</t>
  </si>
  <si>
    <t>The inspection work order is created successfully with the selected template attached and moves to To Do.</t>
  </si>
  <si>
    <t>The panel opens with its criteria plus working Reset and Apply actions.</t>
  </si>
  <si>
    <t>WI-005</t>
  </si>
  <si>
    <t>WP-008</t>
  </si>
  <si>
    <t>Both active and inactive templates exist</t>
  </si>
  <si>
    <t>Verify only active templates are offered</t>
  </si>
  <si>
    <t>1. Open the inspection template dropdown on the create form</t>
  </si>
  <si>
    <t>Filter panel open</t>
  </si>
  <si>
    <t>Only active/published templates are listed; draft and disabled templates are excluded.</t>
  </si>
  <si>
    <t>Verify Apply and Reset behaviour</t>
  </si>
  <si>
    <t>1. Set several criteria and click Apply
2. Reopen the panel and click Reset</t>
  </si>
  <si>
    <t>Apply narrows the grid to the criteria; Reset clears all criteria and restores the unfiltered grid.</t>
  </si>
  <si>
    <t>WI-006</t>
  </si>
  <si>
    <t>WP-009</t>
  </si>
  <si>
    <t>Create form set to Inspection type</t>
  </si>
  <si>
    <t>Verify Supervisor and Responsible fields are disabled for inspection work orders</t>
  </si>
  <si>
    <t>List - Search</t>
  </si>
  <si>
    <t>1. Inspect the resources section on the create form</t>
  </si>
  <si>
    <t>Supervisor and Responsible fields are disabled or absent as designed for inspection work orders.</t>
  </si>
  <si>
    <t>Verify search by work order number and name</t>
  </si>
  <si>
    <t>1. Search by full WO sequence number
2. Search by a partial WO name</t>
  </si>
  <si>
    <t>Both searches return the correct rows; a search matching nothing shows a clear empty state.</t>
  </si>
  <si>
    <t>WI-007</t>
  </si>
  <si>
    <t>WP-010</t>
  </si>
  <si>
    <t>Verify traditional progress entry is not offered</t>
  </si>
  <si>
    <t>1. Inspect the form for acre/run progress inputs</t>
  </si>
  <si>
    <t>List - Data</t>
  </si>
  <si>
    <t>No traditional progress fields are present; progress derives solely from template attribute completion.</t>
  </si>
  <si>
    <t>Verify date formatting and ordering</t>
  </si>
  <si>
    <t>1. Inspect WO Start Date and WO End Date across rows</t>
  </si>
  <si>
    <t>Dates render in the configured format and End Date is never earlier than Start Date on any row.</t>
  </si>
  <si>
    <t>WI-008</t>
  </si>
  <si>
    <t>WP-011</t>
  </si>
  <si>
    <t>Verify validation when no template is selected</t>
  </si>
  <si>
    <t>1. Submit an inspection work order without selecting a template</t>
  </si>
  <si>
    <t>Submission is blocked with a clear message identifying the missing template.</t>
  </si>
  <si>
    <t>A multi-plot work order exists</t>
  </si>
  <si>
    <t>Verify the Plots column lists all plots</t>
  </si>
  <si>
    <t>1. Find a work order with more than one plot
2. Open its detail and compare</t>
  </si>
  <si>
    <t>Every plot shown in the grid is present on the detail and vice versa, with no truncation losing data.</t>
  </si>
  <si>
    <t>WI-009</t>
  </si>
  <si>
    <t>Verify plots can be added to an inspection work order</t>
  </si>
  <si>
    <t>1. Set the task date range and add several plots</t>
  </si>
  <si>
    <t>Plots are added with their attributes and the total plot count updates correctly.</t>
  </si>
  <si>
    <t>WP-012</t>
  </si>
  <si>
    <t>A work order with several materials</t>
  </si>
  <si>
    <t>Verify the Materials cell popover shows the full material list</t>
  </si>
  <si>
    <t>WI-010</t>
  </si>
  <si>
    <t>1. Hover/click the Materials cell</t>
  </si>
  <si>
    <t>A popover lists all assigned materials; grid truncation does not hide any entry.</t>
  </si>
  <si>
    <t>Ad-hoc blocks permitted</t>
  </si>
  <si>
    <t>Verify ad-hoc blocks can be added to an inspection work order</t>
  </si>
  <si>
    <t>1. Add a block not present on the D365 plan and submit</t>
  </si>
  <si>
    <t>The ad-hoc block is saved and appears on the mobile app for inspection.</t>
  </si>
  <si>
    <t>WP-013</t>
  </si>
  <si>
    <t>WI-011</t>
  </si>
  <si>
    <t>Verify the Progress column is consistent with Status</t>
  </si>
  <si>
    <t>Submit</t>
  </si>
  <si>
    <t>1. Compare Progress against Status for at least ten rows</t>
  </si>
  <si>
    <t>A Done work order shows full completion and a To Do work order shows zero; no contradictory combinations exist.</t>
  </si>
  <si>
    <t>A complete inspection work order draft</t>
  </si>
  <si>
    <t>Verify submission moves the inspection work order to To Do</t>
  </si>
  <si>
    <t>1. Complete all required data and click Submit</t>
  </si>
  <si>
    <t>The status becomes To Do and the work order becomes visible to mobile users after sync.</t>
  </si>
  <si>
    <t>WP-014</t>
  </si>
  <si>
    <t>List - Row Actions</t>
  </si>
  <si>
    <t>Verify the available row actions</t>
  </si>
  <si>
    <t>1. Inspect the Actions cell of a row</t>
  </si>
  <si>
    <t>View Detail, Edit, Clone and Delete are offered subject to the user's permissions and the work order's status.</t>
  </si>
  <si>
    <t>WI-012</t>
  </si>
  <si>
    <t>Mobile Sync</t>
  </si>
  <si>
    <t>WP-015</t>
  </si>
  <si>
    <t>A submitted inspection work order</t>
  </si>
  <si>
    <t>Verify the inspection work order syncs to iOS with template and locations</t>
  </si>
  <si>
    <t>1. Sync the iOS app and open the inspection work order</t>
  </si>
  <si>
    <t>The work order appears with its plots, template and the configured default number of locations.</t>
  </si>
  <si>
    <t>A work order row visible</t>
  </si>
  <si>
    <t>Verify View Work Order Detail</t>
  </si>
  <si>
    <t>1. Click the view icon on a row</t>
  </si>
  <si>
    <t>A read-only detail view opens showing general information, plots, materials, resources, assets and status history.</t>
  </si>
  <si>
    <t>WI-013</t>
  </si>
  <si>
    <t>Mobile Execution</t>
  </si>
  <si>
    <t>An inspection work order in To Do</t>
  </si>
  <si>
    <t>WP-016</t>
  </si>
  <si>
    <t>Verify any assigned worker can start the inspection</t>
  </si>
  <si>
    <t>1. Log in as an assigned worker on iOS
2. Open the inspection work order and start it</t>
  </si>
  <si>
    <t>Create - Form Load</t>
  </si>
  <si>
    <t>The inspection starts regardless of supervisor/responsible designation, per the inspection rules.</t>
  </si>
  <si>
    <t>Verify the Create New Work Order form opens</t>
  </si>
  <si>
    <t>1. Click 'Create New'</t>
  </si>
  <si>
    <t>The panel opens with the General section, Select Plot, Select Materials, Select Resources, Select Assets and the Summary aside.</t>
  </si>
  <si>
    <t>WI-014</t>
  </si>
  <si>
    <t>An inspection work order in progress</t>
  </si>
  <si>
    <t>Verify location selection opens the inspection template</t>
  </si>
  <si>
    <t>1. Select a location within a block</t>
  </si>
  <si>
    <t>WP-017</t>
  </si>
  <si>
    <t>The template opens for data entry against that specific location.</t>
  </si>
  <si>
    <t>Create - Fields</t>
  </si>
  <si>
    <t>AgriERP / AgriFarm  -  Vann Brothers Regression Suite  |  Work Orders - Observations</t>
  </si>
  <si>
    <t>Create form open</t>
  </si>
  <si>
    <t>Verify mandatory field indicators</t>
  </si>
  <si>
    <t>WI-015</t>
  </si>
  <si>
    <t>1. Inspect the field labels</t>
  </si>
  <si>
    <t>Work Order Name, WO Start Date, WO End Date, Priority, Farm, Task Type, Planned Task and Supervisor are marked required.</t>
  </si>
  <si>
    <t>A template open on a location</t>
  </si>
  <si>
    <t>Verify all attribute types accept and save data</t>
  </si>
  <si>
    <t>1. Fill each attribute type present (Comment Box, Custom Slider, Date Time Picker, Key Value, List Picker, Number Slider, Switch)
2. Save</t>
  </si>
  <si>
    <t>Every attribute type accepts input, validates per its configuration and persists after save and reopen.</t>
  </si>
  <si>
    <t>WP-018</t>
  </si>
  <si>
    <t>Create - Validation</t>
  </si>
  <si>
    <t>WI-016</t>
  </si>
  <si>
    <t>Verify submission with all mandatory fields blank is rejected</t>
  </si>
  <si>
    <t>1. Click 'Submit' without entering anything</t>
  </si>
  <si>
    <t>Submission is blocked and every mandatory field shows an inline validation message; no record is created.</t>
  </si>
  <si>
    <t>A List Picker attribute with multiple options</t>
  </si>
  <si>
    <t>Verify multiple options can be selected in a List Picker</t>
  </si>
  <si>
    <t>1. Open a List Picker attribute and select several options
2. Save and reopen</t>
  </si>
  <si>
    <t>All selected options are retained and displayed; deselecting removes them cleanly.</t>
  </si>
  <si>
    <t>WP-019</t>
  </si>
  <si>
    <t>Verify Work Order Name accepts valid input and enforces limits</t>
  </si>
  <si>
    <t>WI-017</t>
  </si>
  <si>
    <t>1. Enter a normal name
2. Enter a 300-character name
3. Enter leading/trailing spaces and special characters</t>
  </si>
  <si>
    <t>Valid names are accepted; over-length input is prevented or trimmed with a message; whitespace is trimmed and special characters are stored safely.</t>
  </si>
  <si>
    <t>A List Picker attribute with reference images on its options</t>
  </si>
  <si>
    <t>Verify option thumbnails render and open full size</t>
  </si>
  <si>
    <t>1. Open the attribute and inspect the option thumbnails
2. Tap a thumbnail</t>
  </si>
  <si>
    <t>Each option shows the thumbnail of its reference image and tapping it opens the full-size image.</t>
  </si>
  <si>
    <t>WP-020</t>
  </si>
  <si>
    <t>Verify default WO Start Date and WO End Date</t>
  </si>
  <si>
    <t>1. Observe the pre-populated dates</t>
  </si>
  <si>
    <t>Dates default to the configured values and remain editable via the date picker.</t>
  </si>
  <si>
    <t>WI-018</t>
  </si>
  <si>
    <t>WP-021</t>
  </si>
  <si>
    <t>Verify the Save and Next controls on the attribute screen</t>
  </si>
  <si>
    <t>1. Use 'Save' on one attribute and 'Next' on another</t>
  </si>
  <si>
    <t>Verify End Date earlier than Start Date is rejected</t>
  </si>
  <si>
    <t>Save persists and stays on the attribute; Next persists and advances to the following attribute without data loss.</t>
  </si>
  <si>
    <t>1. Set WO End Date before WO Start Date and submit</t>
  </si>
  <si>
    <t>Validation blocks the save with a clear message and no record is created.</t>
  </si>
  <si>
    <t>WI-019</t>
  </si>
  <si>
    <t>WP-022</t>
  </si>
  <si>
    <t>Verify the Priority dropdown options and default</t>
  </si>
  <si>
    <t>1. Open the Priority dropdown</t>
  </si>
  <si>
    <t>The configured options are listed, the documented default is preselected, and the choice is reflected in the Summary panel.</t>
  </si>
  <si>
    <t>Verify attachments can be added against each attribute</t>
  </si>
  <si>
    <t>WB-001</t>
  </si>
  <si>
    <t>1. Attach a photo, then a gallery image, then a document to different attributes
2. Save</t>
  </si>
  <si>
    <t>Each attachment is stored against the correct attribute and is visible on reopening and on the web detail.</t>
  </si>
  <si>
    <t>WP-023</t>
  </si>
  <si>
    <t>WI-020</t>
  </si>
  <si>
    <t>Verify the Farm dropdown lists only farms for the selected site</t>
  </si>
  <si>
    <t>1. Open the Farm dropdown</t>
  </si>
  <si>
    <t>Verify the Observations tab loads without error</t>
  </si>
  <si>
    <t>Only farms belonging to the selected site/grower are listed; farms from other sites are absent.</t>
  </si>
  <si>
    <t>1. Click the 'Observations' tab</t>
  </si>
  <si>
    <t>Partial attribute completion</t>
  </si>
  <si>
    <t>Observation records load successfully. This tab has previously failed with an unknown error - confirm the fix.</t>
  </si>
  <si>
    <t>Verify progress is calculated from completed attributes</t>
  </si>
  <si>
    <t>1. Fill a subset of attributes on a location and check the block progress</t>
  </si>
  <si>
    <t>Progress reflects the proportion of completed attributes according to the documented rule.</t>
  </si>
  <si>
    <t>WP-024</t>
  </si>
  <si>
    <t>Verify the Task Type dropdown drives the Planned Task list</t>
  </si>
  <si>
    <t>1. Select a Task Type
2. Open the Planned Task dropdown</t>
  </si>
  <si>
    <t>WI-021</t>
  </si>
  <si>
    <t>The Planned Task list is populated with tasks valid for that type, each shown with its task code.</t>
  </si>
  <si>
    <t>All attributes filled on all locations of a block</t>
  </si>
  <si>
    <t>Verify 100% progress when all attributes are complete</t>
  </si>
  <si>
    <t>1. Complete every attribute on every location for a block</t>
  </si>
  <si>
    <t>WP-025</t>
  </si>
  <si>
    <t>The block shows 100% progress and is marked complete.</t>
  </si>
  <si>
    <t>Tasks synced from D365</t>
  </si>
  <si>
    <t>Verify D365 task selection auto-populates task details</t>
  </si>
  <si>
    <t>1. Select a task synced from D365
2. Inspect the auto-populated fields</t>
  </si>
  <si>
    <t>WB-002</t>
  </si>
  <si>
    <t>Task details (code, description, default operation data) load correctly from the D365 record.</t>
  </si>
  <si>
    <t>WI-022</t>
  </si>
  <si>
    <t>A template with a default location count</t>
  </si>
  <si>
    <t>WP-026</t>
  </si>
  <si>
    <t>Verify multiple locations can be added and tracked per block</t>
  </si>
  <si>
    <t>1. Add locations beyond the default count and fill each</t>
  </si>
  <si>
    <t>All locations are tracked independently and each contributes to the block progress as specified.</t>
  </si>
  <si>
    <t>Observations tab open</t>
  </si>
  <si>
    <t>Verify the Supervisor dropdown is searchable and lists active employees</t>
  </si>
  <si>
    <t>Verify the Observations column set</t>
  </si>
  <si>
    <t>1. Open the Supervisor dropdown
2. Type part of a name</t>
  </si>
  <si>
    <t>The employee list loads with name and employee number, type-ahead narrows the list and the selection is retained on save.</t>
  </si>
  <si>
    <t>Columns are Title, Farm, Plots, Category, Created Date, Created By and Actions.</t>
  </si>
  <si>
    <t>WI-023</t>
  </si>
  <si>
    <t>WP-027</t>
  </si>
  <si>
    <t>A template with default locations set</t>
  </si>
  <si>
    <t>AgriERP / AgriFarm  -  Vann Brothers Regression Suite  |  Work Orders - Harvest</t>
  </si>
  <si>
    <t>Verify location-based progress calculation</t>
  </si>
  <si>
    <t>1. Complete locations one at a time and observe the block progress after each</t>
  </si>
  <si>
    <t>Verify the Responsible dropdown supports the expected selection mode</t>
  </si>
  <si>
    <t>Progress increases in line with the proportion of completed locations.</t>
  </si>
  <si>
    <t>1. Open the Responsible dropdown and make a selection</t>
  </si>
  <si>
    <t>WB-003</t>
  </si>
  <si>
    <t>The correct single- or multi-select behaviour applies per design and the selection is shown on the form and in the Summary.</t>
  </si>
  <si>
    <t>WI-024</t>
  </si>
  <si>
    <t>WP-028</t>
  </si>
  <si>
    <t>Verify search and filtering on the observations list</t>
  </si>
  <si>
    <t>1. Search by Title and by Created By
2. Filter by Category</t>
  </si>
  <si>
    <t>Each search and filter returns only matching observations and can be cleared.</t>
  </si>
  <si>
    <t>Verify the Material Template dropdown pre-fills materials</t>
  </si>
  <si>
    <t>A location with unsaved attribute data</t>
  </si>
  <si>
    <t>1. Select a material template</t>
  </si>
  <si>
    <t>The Select Materials grid is populated from the template with the correct material, rate, usage and unit values.</t>
  </si>
  <si>
    <t>Verify the user is prompted before leaving unsaved location data</t>
  </si>
  <si>
    <t>1. Enter data on a location and navigate away without saving</t>
  </si>
  <si>
    <t>A prompt warns of unsaved data and offers to save or discard; data is never silently lost.</t>
  </si>
  <si>
    <t>WP-029</t>
  </si>
  <si>
    <t>WB-004</t>
  </si>
  <si>
    <t>List - Season Scope</t>
  </si>
  <si>
    <t>Verify the Tank Mixing toggle</t>
  </si>
  <si>
    <t>WI-025</t>
  </si>
  <si>
    <t>1. Enable 'Enable Tank Mixing'
2. Observe the materials section, then disable it</t>
  </si>
  <si>
    <t>Observations exist in more than one season</t>
  </si>
  <si>
    <t>Tank-mixing fields become available and are reflected in the Summary; disabling reverts cleanly without orphaned data.</t>
  </si>
  <si>
    <t>Verify observations are filtered by the selected season</t>
  </si>
  <si>
    <t>WH-001</t>
  </si>
  <si>
    <t>1. Note the observations listed for the current season
2. Switch season and re-inspect</t>
  </si>
  <si>
    <t>Blocks with incomplete locations</t>
  </si>
  <si>
    <t>Verify job end validation on incomplete blocks</t>
  </si>
  <si>
    <t>Only observations belonging to the selected season are listed; no cross-season leakage.</t>
  </si>
  <si>
    <t>WP-030</t>
  </si>
  <si>
    <t>1. Attempt to end the job while a block is incomplete</t>
  </si>
  <si>
    <t>The system prevents the job end and states which block/location is incomplete.</t>
  </si>
  <si>
    <t>Verify the Harvest Work Orders tab loads</t>
  </si>
  <si>
    <t>1. Click the 'Harvest Work Orders' tab</t>
  </si>
  <si>
    <t>Only harvest-type work orders are listed and the tab loads without error.</t>
  </si>
  <si>
    <t>Verify the Notes field stores multi-line text safely</t>
  </si>
  <si>
    <t>1. Enter multi-line notes including special characters and markup
2. Save and reopen</t>
  </si>
  <si>
    <t>Notes are stored and redisplayed exactly with line breaks preserved and no HTML/script executed.</t>
  </si>
  <si>
    <t>WB-005</t>
  </si>
  <si>
    <t>WI-026</t>
  </si>
  <si>
    <t>Detail</t>
  </si>
  <si>
    <t>WP-031</t>
  </si>
  <si>
    <t>All blocks complete</t>
  </si>
  <si>
    <t>An observation exists</t>
  </si>
  <si>
    <t>Create - Plots</t>
  </si>
  <si>
    <t>Verify successful job completion</t>
  </si>
  <si>
    <t>Verify the observation detail opens from the details icon</t>
  </si>
  <si>
    <t>1. End the job once every block is at 100%</t>
  </si>
  <si>
    <t>1. Click the details icon on an observation row</t>
  </si>
  <si>
    <t>The job ends successfully. Known defect area: ending the job on behalf of all users as an admin has previously errored - verify that path explicitly.</t>
  </si>
  <si>
    <t>WH-002</t>
  </si>
  <si>
    <t>The detail view opens showing title, category, plot, season, comments, attachments and creator with timestamps.</t>
  </si>
  <si>
    <t>Verify plot selection requires a task date range</t>
  </si>
  <si>
    <t>Harvest Work Orders tab open</t>
  </si>
  <si>
    <t>1. Click 'Add Plot' before setting the Task Date Range</t>
  </si>
  <si>
    <t>WI-027</t>
  </si>
  <si>
    <t>Verify the Harvest Work Orders column set and data</t>
  </si>
  <si>
    <t>The user is prompted to select the date range first rather than the action silently doing nothing.</t>
  </si>
  <si>
    <t>1. Inspect the grid header and rows</t>
  </si>
  <si>
    <t>Columns match the standard work order set, with harvest-specific data populated correctly.</t>
  </si>
  <si>
    <t>WB-006</t>
  </si>
  <si>
    <t>All jobs complete on the inspection work order</t>
  </si>
  <si>
    <t>Verify the inspection work order moves to Review</t>
  </si>
  <si>
    <t>WP-032</t>
  </si>
  <si>
    <t>1. End the work order</t>
  </si>
  <si>
    <t>The status moves to Review and is reflected on web after refresh.</t>
  </si>
  <si>
    <t>An observation with attachments</t>
  </si>
  <si>
    <t>WH-003</t>
  </si>
  <si>
    <t>Verify all attachment types are viewable on the web detail</t>
  </si>
  <si>
    <t>Task Date Range set</t>
  </si>
  <si>
    <t>1. Open an observation carrying photo, video, audio, document and map-drawing attachments</t>
  </si>
  <si>
    <t>Verify 'Add Plot' lists eligible plots with their attributes</t>
  </si>
  <si>
    <t>Harvest task configured</t>
  </si>
  <si>
    <t>Verify creation of a harvest work order</t>
  </si>
  <si>
    <t>1. Set the Task Date Range
2. Click 'Add Plot'</t>
  </si>
  <si>
    <t>Each attachment renders or plays correctly and can be downloaded; nothing appears as a broken link.</t>
  </si>
  <si>
    <t>1. Create a new work order selecting the harvest task type
2. Add plots, resources and assets and submit</t>
  </si>
  <si>
    <t>A selectable list is shown with Select Plot, Customer Name, Plot Area, Operational Area, Effective Area, Start Date and End Date.</t>
  </si>
  <si>
    <t>WI-028</t>
  </si>
  <si>
    <t>The harvest work order is created and appears under the Harvest Work Orders tab in To Do status.</t>
  </si>
  <si>
    <t>One resource assigned to several inspection work orders</t>
  </si>
  <si>
    <t>WP-033</t>
  </si>
  <si>
    <t>Verify one resource can work on multiple inspections</t>
  </si>
  <si>
    <t>WH-004</t>
  </si>
  <si>
    <t>1. Start and enter location data on two inspection work orders as the same resource</t>
  </si>
  <si>
    <t>WB-007</t>
  </si>
  <si>
    <t>Location data syncs independently to the correct work order with no cross-posting.</t>
  </si>
  <si>
    <t>Harvest work order create form open</t>
  </si>
  <si>
    <t>Verify harvest-specific fields and validation</t>
  </si>
  <si>
    <t>Create WO</t>
  </si>
  <si>
    <t>1. Inspect the form for harvest-specific fields and submit with them blank</t>
  </si>
  <si>
    <t>Harvest-specific mandatory fields are marked and enforced with clear inline validation.</t>
  </si>
  <si>
    <t>Verify a work order can be created from an observation</t>
  </si>
  <si>
    <t>WI-029</t>
  </si>
  <si>
    <t>Plot list open</t>
  </si>
  <si>
    <t>1. Open the observation detail and click 'Create Work Order'</t>
  </si>
  <si>
    <t>The create work order form opens pre-populated with the plot and relevant context from the observation.</t>
  </si>
  <si>
    <t>Two workers on the same inspection work order</t>
  </si>
  <si>
    <t>WH-005</t>
  </si>
  <si>
    <t>Verify multiple resources on the same block do not conflict</t>
  </si>
  <si>
    <t>Verify plots can be selected and the total updates</t>
  </si>
  <si>
    <t>1. Have two workers enter data on different locations of the same block simultaneously</t>
  </si>
  <si>
    <t>Both sets of data are saved without overwriting each other and the block progress accounts for both.</t>
  </si>
  <si>
    <t>1. Select two plots and confirm</t>
  </si>
  <si>
    <t>A submitted harvest work order</t>
  </si>
  <si>
    <t>Verify the harvest work order syncs to iOS</t>
  </si>
  <si>
    <t>Both plots are added to the grid and the 'Total Plots' counter reflects the number selected.</t>
  </si>
  <si>
    <t>1. Sync the iOS app and open the harvest work order</t>
  </si>
  <si>
    <t>The work order appears with its plots, resources, assets and harvest configuration.</t>
  </si>
  <si>
    <t>WI-030</t>
  </si>
  <si>
    <t>WB-008</t>
  </si>
  <si>
    <t>WH-006</t>
  </si>
  <si>
    <t>Location services enabled</t>
  </si>
  <si>
    <t>Verify geo-location capture for each inspection entry</t>
  </si>
  <si>
    <t>Work order creation started from an observation</t>
  </si>
  <si>
    <t>1. Complete an inspection location on the device
2. Verify the captured coordinates on web</t>
  </si>
  <si>
    <t>A harvest work order in To Do</t>
  </si>
  <si>
    <t>Verify the work order is created and linked back to the observation</t>
  </si>
  <si>
    <t>Verify Start Harvest ID</t>
  </si>
  <si>
    <t>Coordinates are captured per entry and are plausible for the plot location within the expected accuracy.</t>
  </si>
  <si>
    <t>1. Complete the required fields and submit</t>
  </si>
  <si>
    <t>1. Start a harvest ID on the work order</t>
  </si>
  <si>
    <t>The work order is created successfully and the link to the originating observation is retained and visible from both records.</t>
  </si>
  <si>
    <t>The harvest ID starts, is timestamped and is visible to the supervisor.</t>
  </si>
  <si>
    <t>WI-031</t>
  </si>
  <si>
    <t>WH-007</t>
  </si>
  <si>
    <t>Supervisor/Manager role</t>
  </si>
  <si>
    <t>Verify Start Harvest ID for another user</t>
  </si>
  <si>
    <t>WB-009</t>
  </si>
  <si>
    <t>1. As a supervisor, start a harvest ID on behalf of another resource</t>
  </si>
  <si>
    <t>Verify app responsiveness while updating many locations</t>
  </si>
  <si>
    <t>The harvest ID is attributed to the intended user and the acting user is recorded in the audit trail.</t>
  </si>
  <si>
    <t>1. Update 20 or more locations in one session and observe responsiveness</t>
  </si>
  <si>
    <t>POI Config</t>
  </si>
  <si>
    <t>The app remains responsive, saves complete within the agreed threshold and no data is lost on rapid navigation.</t>
  </si>
  <si>
    <t>WP-034</t>
  </si>
  <si>
    <t>Admin access to the map configuration screen</t>
  </si>
  <si>
    <t>Verify POI configuration is reachable under Map Config</t>
  </si>
  <si>
    <t>WH-008</t>
  </si>
  <si>
    <t>1. Navigate to Settings &gt; Map Toggle / POI Configuration</t>
  </si>
  <si>
    <t>The POI setup table is reachable by an authorised manager and is hidden from unauthorised roles.</t>
  </si>
  <si>
    <t>WI-032</t>
  </si>
  <si>
    <t>Plots added</t>
  </si>
  <si>
    <t>Data Sync</t>
  </si>
  <si>
    <t>An active harvest ID</t>
  </si>
  <si>
    <t>Verify Create Ticket</t>
  </si>
  <si>
    <t>Verify a plot can be removed from the work order</t>
  </si>
  <si>
    <t>An inspection completed on mobile</t>
  </si>
  <si>
    <t>1. Create a harvest ticket against the active harvest ID</t>
  </si>
  <si>
    <t>1. Use the row action to remove a plot</t>
  </si>
  <si>
    <t>Verify all inspection data syncs to the web app</t>
  </si>
  <si>
    <t>The ticket is created with the correct harvest ID, plot, timestamp and creator.</t>
  </si>
  <si>
    <t>WB-010</t>
  </si>
  <si>
    <t>The plot is removed, the Total Plots counter decrements and the Summary &gt; Plots tab updates.</t>
  </si>
  <si>
    <t>1. Complete the inspection on iOS, sync, then open the work order detail on web</t>
  </si>
  <si>
    <t>Every attribute value, attachment and location coordinate is present and matches the mobile entry.</t>
  </si>
  <si>
    <t>WH-009</t>
  </si>
  <si>
    <t>POI configuration open</t>
  </si>
  <si>
    <t>Verify POI categories can be created with title, colour and icon</t>
  </si>
  <si>
    <t>1. Create a POI category with a title, colour and icon
2. Set the Visible and Enable toggles and save</t>
  </si>
  <si>
    <t>WP-035</t>
  </si>
  <si>
    <t>WI-033</t>
  </si>
  <si>
    <t>Verify Create Ticket for another user</t>
  </si>
  <si>
    <t>The category is created and appears in the configuration list with the chosen icon and colour.</t>
  </si>
  <si>
    <t>1. Create a ticket on behalf of another resource</t>
  </si>
  <si>
    <t>The ticket is attributed to the intended user with the acting user recorded.</t>
  </si>
  <si>
    <t>Attribute options changed on web after mobile sync</t>
  </si>
  <si>
    <t>Verify 'Add Plot using map' selection</t>
  </si>
  <si>
    <t>Verify option changes propagate to the mobile app</t>
  </si>
  <si>
    <t>1. Click 'Add Plot using map'
2. Select a plot on the map and confirm</t>
  </si>
  <si>
    <t>1. Add and then delete an option on a list-picker attribute on web
2. Re-sync the mobile app</t>
  </si>
  <si>
    <t>The chosen plot is added identically to list-based selection and its acreage matches the Maps module.</t>
  </si>
  <si>
    <t>The added option appears and the deleted option no longer appears in the mobile attribute options.</t>
  </si>
  <si>
    <t>WB-011</t>
  </si>
  <si>
    <t>WH-010</t>
  </si>
  <si>
    <t>WP-036</t>
  </si>
  <si>
    <t>WI-034</t>
  </si>
  <si>
    <t>A harvest ticket exists</t>
  </si>
  <si>
    <t>Verify Edit Ticket</t>
  </si>
  <si>
    <t>Web Review</t>
  </si>
  <si>
    <t>POI categories configured</t>
  </si>
  <si>
    <t>1. Edit an existing ticket's values and save</t>
  </si>
  <si>
    <t>The changes are persisted and an edit history entry is recorded.</t>
  </si>
  <si>
    <t>A completed inspection work order</t>
  </si>
  <si>
    <t>Verify Operational and Effective Area calculations</t>
  </si>
  <si>
    <t>Verify the inspection information section on the web detail</t>
  </si>
  <si>
    <t>1. Compare Plot Area, Operational Area and Effective Area for a selected plot</t>
  </si>
  <si>
    <t>Verify configured pins appear on the map for the block</t>
  </si>
  <si>
    <t>Values follow the documented calculation rules and Effective Area never exceeds Plot Area.</t>
  </si>
  <si>
    <t>1. Open the inspection work order detail on web</t>
  </si>
  <si>
    <t>1. Create an observation of a configured category
2. Open Maps and select the POI layer</t>
  </si>
  <si>
    <t>The inspection section shows each block, its locations and every captured attribute value in the template's defined order.</t>
  </si>
  <si>
    <t>The pin appears on the correct block using the configured icon and colour.</t>
  </si>
  <si>
    <t>WH-011</t>
  </si>
  <si>
    <t>WI-035</t>
  </si>
  <si>
    <t>WP-037</t>
  </si>
  <si>
    <t>Supervisor/Manager role and another user's ticket</t>
  </si>
  <si>
    <t>Verify Edit Ticket for another user</t>
  </si>
  <si>
    <t>Attributes with attached images</t>
  </si>
  <si>
    <t>1. Edit a ticket belonging to another resource</t>
  </si>
  <si>
    <t>WB-012</t>
  </si>
  <si>
    <t>Verify attribute-level images are viewable from the web detail</t>
  </si>
  <si>
    <t>Verify a work order can be created with a large plot set</t>
  </si>
  <si>
    <t>The edit is permitted only for privileged roles, is saved correctly and is attributed in the audit trail.</t>
  </si>
  <si>
    <t>1. Open an attribute that carries images on the work order detail</t>
  </si>
  <si>
    <t>1. Add 50 plots to a single work order and submit
2. Measure the response time and verify all links</t>
  </si>
  <si>
    <t>The images are listed at key-value level, open at full size and can be downloaded directly.</t>
  </si>
  <si>
    <t>All 50 plots are saved and linked, no request times out, and the response time is recorded against the agreed threshold.</t>
  </si>
  <si>
    <t>WI-036</t>
  </si>
  <si>
    <t>WP-038</t>
  </si>
  <si>
    <t>Create - Materials</t>
  </si>
  <si>
    <t>Verify block progress on the web matches the mobile completion</t>
  </si>
  <si>
    <t>1. Compare block progress on web against the mobile app</t>
  </si>
  <si>
    <t>Percentages match exactly for every block.</t>
  </si>
  <si>
    <t>Verify materials can be added manually</t>
  </si>
  <si>
    <t>1. Click 'Add Material'
2. Choose a material, enter Rate and Usage and pick a Unit</t>
  </si>
  <si>
    <t>WH-012</t>
  </si>
  <si>
    <t>The material row is added with the entered values and appears in the Summary.</t>
  </si>
  <si>
    <t>WI-037</t>
  </si>
  <si>
    <t>Verify Link Harvest ID to a ticket</t>
  </si>
  <si>
    <t>1. Link a harvest ID to an existing ticket</t>
  </si>
  <si>
    <t>Adjustment</t>
  </si>
  <si>
    <t>WP-039</t>
  </si>
  <si>
    <t>The linkage is saved and visible on both the ticket and the harvest ID record.</t>
  </si>
  <si>
    <t>Verify resource adjustment on an inspection work order</t>
  </si>
  <si>
    <t>1. Adjust logged hours on the inspection work order and save</t>
  </si>
  <si>
    <t>A material row added</t>
  </si>
  <si>
    <t>The adjustment is saved and reflected in the hour log and downstream posting.</t>
  </si>
  <si>
    <t>Verify rate and usage validation</t>
  </si>
  <si>
    <t>1. Enter a negative rate, then a non-numeric value, then zero</t>
  </si>
  <si>
    <t>WH-013</t>
  </si>
  <si>
    <t>Negative and non-numeric values are rejected with a clear message; zero is handled per business rules.</t>
  </si>
  <si>
    <t>POI categories with existing pins</t>
  </si>
  <si>
    <t>Verify changing a category colour does not alter historic pins</t>
  </si>
  <si>
    <t>WI-038</t>
  </si>
  <si>
    <t>Verify Link Harvest ID for another user</t>
  </si>
  <si>
    <t>1. Change the colour of a category that already has pins
2. Re-inspect the map</t>
  </si>
  <si>
    <t>1. Link a harvest ID on behalf of another resource</t>
  </si>
  <si>
    <t>WP-040</t>
  </si>
  <si>
    <t>Export</t>
  </si>
  <si>
    <t>The link is created against the correct user with the acting user recorded.</t>
  </si>
  <si>
    <t>Previously placed pins retain their original colour per the agreed rule; only new pins use the new colour.</t>
  </si>
  <si>
    <t>Verify PDF export of an inspection work order</t>
  </si>
  <si>
    <t>Materials added</t>
  </si>
  <si>
    <t>1. Open the work order and click Export/Print</t>
  </si>
  <si>
    <t>Verify a material row can be removed</t>
  </si>
  <si>
    <t>1. Use the row action to delete a material</t>
  </si>
  <si>
    <t>A PDF is generated containing the inspection information, block progress, attribute values, attachments and map without layout corruption.</t>
  </si>
  <si>
    <t>WH-014</t>
  </si>
  <si>
    <t>The row is removed and the Summary &gt; Materials list updates.</t>
  </si>
  <si>
    <t>Verify Assign Customer to Ticket</t>
  </si>
  <si>
    <t>1. Assign a customer to a ticket and save</t>
  </si>
  <si>
    <t>WI-039</t>
  </si>
  <si>
    <t>The customer is assigned, shown on the ticket and carried through to posting.</t>
  </si>
  <si>
    <t>WP-041</t>
  </si>
  <si>
    <t>An inspection work order with attribute images</t>
  </si>
  <si>
    <t>Ad-hoc materials permitted</t>
  </si>
  <si>
    <t>Verify attribute images appear in the exported PDF</t>
  </si>
  <si>
    <t>Verify ad-hoc materials not present in the D365 plan can be added</t>
  </si>
  <si>
    <t>1. Export a work order whose attributes carry images</t>
  </si>
  <si>
    <t>1. Add a material that is not on the D365 plan
2. Submit the work order</t>
  </si>
  <si>
    <t>Images appear in the PDF under the correct attribute with a caption identifying the block/location.</t>
  </si>
  <si>
    <t>WH-015</t>
  </si>
  <si>
    <t>The ad-hoc material is saved against the work order and flows through to consumption and the Planning Actual tab.</t>
  </si>
  <si>
    <t>WB-013</t>
  </si>
  <si>
    <t>A harvest ticket in progress</t>
  </si>
  <si>
    <t>WI-040</t>
  </si>
  <si>
    <t>Verify Mark Ticket Complete</t>
  </si>
  <si>
    <t>1. Mark a ticket complete</t>
  </si>
  <si>
    <t>WP-042</t>
  </si>
  <si>
    <t>The ticket status becomes complete, is locked against further field edits per business rules and is visible on web.</t>
  </si>
  <si>
    <t>Delete</t>
  </si>
  <si>
    <t>Create - Resources</t>
  </si>
  <si>
    <t>POI category changed</t>
  </si>
  <si>
    <t>An inspection work order in Draft or To Do</t>
  </si>
  <si>
    <t>Verify POI category changes are written to the change log</t>
  </si>
  <si>
    <t>Verify deletion rules apply to inspection work orders</t>
  </si>
  <si>
    <t>1. Change a category's title, colour or enabled state
2. Inspect the POI change log</t>
  </si>
  <si>
    <t>Verify the By Resource / By Groups toggle</t>
  </si>
  <si>
    <t>1. Attempt deletion in Draft, To Do and In Progress</t>
  </si>
  <si>
    <t>WH-016</t>
  </si>
  <si>
    <t>Each change is logged with the old value, new value, user and timestamp.</t>
  </si>
  <si>
    <t>1. Select 'By Resource', then 'By Groups'</t>
  </si>
  <si>
    <t>Draft and To Do delete cleanly with confirmation; In Progress is refused with a clear message.</t>
  </si>
  <si>
    <t>The selection list switches between individual resources and resource groups and previously selected items are handled predictably.</t>
  </si>
  <si>
    <t>An active cart</t>
  </si>
  <si>
    <t>Verify End Cart</t>
  </si>
  <si>
    <t>1. End the cart on an active harvest job</t>
  </si>
  <si>
    <t>The cart is closed with the correct end timestamp and quantities.</t>
  </si>
  <si>
    <t>WB-014</t>
  </si>
  <si>
    <t>WI-041</t>
  </si>
  <si>
    <t>WP-043</t>
  </si>
  <si>
    <t>Regression</t>
  </si>
  <si>
    <t>A new POI category created on web</t>
  </si>
  <si>
    <t>An inspection template edited after work orders exist</t>
  </si>
  <si>
    <t>WH-017</t>
  </si>
  <si>
    <t>Verify a new POI type appears in the mobile app</t>
  </si>
  <si>
    <t>Verify template changes do not corrupt existing inspection work orders</t>
  </si>
  <si>
    <t>1. Create a category on web
2. Sync the iOS app and open the POI type dropdown</t>
  </si>
  <si>
    <t>1. Edit the template used by an open inspection work order
2. Reopen the work order on mobile and web</t>
  </si>
  <si>
    <t>Existing work orders retain the template version they were created with, or the documented rule is applied consistently; no captured data is lost.</t>
  </si>
  <si>
    <t>The new category appears in the mobile dropdown with its configured icon and colour.</t>
  </si>
  <si>
    <t>Verify End Cart for another user</t>
  </si>
  <si>
    <t>1. End a cart on behalf of another resource</t>
  </si>
  <si>
    <t>The cart closes for the intended user and the acting user is recorded.</t>
  </si>
  <si>
    <t>By Resource selected</t>
  </si>
  <si>
    <t>WI-042</t>
  </si>
  <si>
    <t>WB-015</t>
  </si>
  <si>
    <t>Verify resources can be added</t>
  </si>
  <si>
    <t>An inspection updated from iOS</t>
  </si>
  <si>
    <t>WH-018</t>
  </si>
  <si>
    <t>Verify attributes updated on iOS are visible on other platforms</t>
  </si>
  <si>
    <t>1. Update attributes on iOS, sync, then view on web and on an Android device if available</t>
  </si>
  <si>
    <t>All attribute values and attachments are visible and identical across platforms.</t>
  </si>
  <si>
    <t>A POI category disabled on web</t>
  </si>
  <si>
    <t>An active harvest job</t>
  </si>
  <si>
    <t>Verify a disabled POI type is withdrawn from the mobile app</t>
  </si>
  <si>
    <t>Verify harvest progress entry</t>
  </si>
  <si>
    <t>1. Click 'Add Resources'
2. Select one or more resources</t>
  </si>
  <si>
    <t>1. Enter harvest progress against a plot and save</t>
  </si>
  <si>
    <t>1. Disable a category on web and re-sync the iOS app</t>
  </si>
  <si>
    <t>The progress is recorded against the correct plot and is reflected in the work order totals.</t>
  </si>
  <si>
    <t>The disabled category is no longer offered when creating an observation on mobile; existing records referencing it remain intact.</t>
  </si>
  <si>
    <t>Selected resources appear with Resource Name, Resource Type, Company Name and No Of Resource.</t>
  </si>
  <si>
    <t>WI-043</t>
  </si>
  <si>
    <t>Weather</t>
  </si>
  <si>
    <t>WH-019</t>
  </si>
  <si>
    <t>An inspection work order with jobs started and paused</t>
  </si>
  <si>
    <t>WB-016</t>
  </si>
  <si>
    <t>Verify weather logging applies to inspection work orders</t>
  </si>
  <si>
    <t>A harvest work order with all jobs complete</t>
  </si>
  <si>
    <t>1. Start and pause jobs on plots of an inspection work order
2. Check the weather section on web</t>
  </si>
  <si>
    <t>Verify End Work Order for a harvest work order</t>
  </si>
  <si>
    <t>iOS - Entry Point</t>
  </si>
  <si>
    <t>Weather is captured and displayed for inspection work orders exactly as for standard work orders.</t>
  </si>
  <si>
    <t>1. End the harvest work order</t>
  </si>
  <si>
    <t>The status moves to Review and all tickets and carts are closed consistently.</t>
  </si>
  <si>
    <t>Verify the Point of Interest tab is available on the dashboard</t>
  </si>
  <si>
    <t>1. Log in and inspect the dashboard tiles</t>
  </si>
  <si>
    <t>A Point of Interest tile is present for entitled roles.</t>
  </si>
  <si>
    <t>WI-044</t>
  </si>
  <si>
    <t>WH-020</t>
  </si>
  <si>
    <t>Offline</t>
  </si>
  <si>
    <t>Device offline with a harvest work order downloaded</t>
  </si>
  <si>
    <t>WB-017</t>
  </si>
  <si>
    <t>Verify the inspection template cannot be changed after submission</t>
  </si>
  <si>
    <t>Verify Start Harvest ID works offline</t>
  </si>
  <si>
    <t>1. Attempt to change the attached template on a submitted inspection work order</t>
  </si>
  <si>
    <t>1. Go offline and start a harvest ID
2. Reconnect and sync</t>
  </si>
  <si>
    <t>iOS - Create</t>
  </si>
  <si>
    <t>The change is blocked or handled per business rules with a clear message; captured data is never orphaned.</t>
  </si>
  <si>
    <t>The action is permitted offline per the permission matrix, queues locally and posts once on reconnect.</t>
  </si>
  <si>
    <t>POI tile open</t>
  </si>
  <si>
    <t>WP-044</t>
  </si>
  <si>
    <t>Verify the Create New Observation action is visible</t>
  </si>
  <si>
    <t>1. Tap the + / Create button</t>
  </si>
  <si>
    <t>The 'Create New Observation' action is visible and opens the creation form.</t>
  </si>
  <si>
    <t>WH-021</t>
  </si>
  <si>
    <t>WI-045</t>
  </si>
  <si>
    <t>Device offline</t>
  </si>
  <si>
    <t>An inspection work order with no locations configured</t>
  </si>
  <si>
    <t>Verify Create Ticket works offline and syncs</t>
  </si>
  <si>
    <t>Verify handling of a template with zero default locations</t>
  </si>
  <si>
    <t>1. Open an inspection work order whose template has no default locations</t>
  </si>
  <si>
    <t>The app shows a clear state and either allows the user to add a location or blocks with an explanatory message rather than crashing.</t>
  </si>
  <si>
    <t>WB-018</t>
  </si>
  <si>
    <t>1. Create tickets while offline
2. Reconnect</t>
  </si>
  <si>
    <t>Observation form open</t>
  </si>
  <si>
    <t>Tickets are created locally and synced exactly once with no duplicates and no lost data.</t>
  </si>
  <si>
    <t>Verify Location is pre-selected by default</t>
  </si>
  <si>
    <t>1. Inspect the location selector on the create form</t>
  </si>
  <si>
    <t>The user's default location is pre-selected and can be changed to any other entitled location.</t>
  </si>
  <si>
    <t>WH-022</t>
  </si>
  <si>
    <t>Verify End Cart works offline and syncs</t>
  </si>
  <si>
    <t>1. End a cart offline, then reconnect</t>
  </si>
  <si>
    <t>The cart end is queued and applied on reconnect with the original offline timestamp preserved.</t>
  </si>
  <si>
    <t>WH-023</t>
  </si>
  <si>
    <t>By Groups selected</t>
  </si>
  <si>
    <t>Verify online-only harvest actions are correctly blocked offline</t>
  </si>
  <si>
    <t>1. While offline attempt Link Harvest ID, Mark Ticket Complete, Assign Customer and Edit Ticket</t>
  </si>
  <si>
    <t>Each online-only action is blocked with a clear 'requires connection' message rather than silently failing or queuing.</t>
  </si>
  <si>
    <t>Verify a resource group expands to its member resources</t>
  </si>
  <si>
    <t>1. Add a resource group</t>
  </si>
  <si>
    <t>WB-019</t>
  </si>
  <si>
    <t>WH-024</t>
  </si>
  <si>
    <t>The group is added and the member count and member resources match the group definition in D365.</t>
  </si>
  <si>
    <t>Attendance</t>
  </si>
  <si>
    <t>A user group with Bypass Attendance enabled</t>
  </si>
  <si>
    <t>A location selected</t>
  </si>
  <si>
    <t>Verify harvest ticket creation without an attendance entry when bypass is enabled</t>
  </si>
  <si>
    <t>Verify farm filtering by the selected location</t>
  </si>
  <si>
    <t>1. As a member of a bypass group, start the truck and create a harvest ticket without clocking in</t>
  </si>
  <si>
    <t>1. Open the farm dropdown after selecting a location</t>
  </si>
  <si>
    <t>The action is permitted for bypass groups. This is a known deferred defect area - verify explicitly against the current build.</t>
  </si>
  <si>
    <t>Only farms under the selected location are offered; changing the location re-filters the farm list.</t>
  </si>
  <si>
    <t>WB-020</t>
  </si>
  <si>
    <t>A farm selected</t>
  </si>
  <si>
    <t>Verify plot filtering by the selected farm</t>
  </si>
  <si>
    <t>1. Open the plot dropdown after selecting a farm</t>
  </si>
  <si>
    <t>Only plots under the selected farm are offered. This has previously failed on some platforms - verify the list is correct and complete.</t>
  </si>
  <si>
    <t>WB-021</t>
  </si>
  <si>
    <t>Verify the season field defaults correctly</t>
  </si>
  <si>
    <t>1. Inspect the season field</t>
  </si>
  <si>
    <t>The user's default season is pre-selected and matches the profile setting.</t>
  </si>
  <si>
    <t>WP-045</t>
  </si>
  <si>
    <t>WH-025</t>
  </si>
  <si>
    <t>WB-022</t>
  </si>
  <si>
    <t>Harvest work order with tickets and carts</t>
  </si>
  <si>
    <t>Verify harvest data is visible on the web work order detail</t>
  </si>
  <si>
    <t>Verify the block defaults to the device's current location</t>
  </si>
  <si>
    <t>1. Create an observation while standing within a mapped block</t>
  </si>
  <si>
    <t>1. Open the harvest work order detail on web</t>
  </si>
  <si>
    <t>The block is pre-filled from the current GPS position and remains manually changeable.</t>
  </si>
  <si>
    <t>Tickets, carts, harvest IDs, picked summary, resources and assets are all shown with correct values.</t>
  </si>
  <si>
    <t>Ad-hoc resources permitted</t>
  </si>
  <si>
    <t>Verify ad-hoc resources not in the D365 plan can be added</t>
  </si>
  <si>
    <t>1. Add a resource that is not on the D365 plan and submit</t>
  </si>
  <si>
    <t>The ad-hoc resource is saved and is visible on the mobile app and in the Planning Actual tab after execution.</t>
  </si>
  <si>
    <t>WB-023</t>
  </si>
  <si>
    <t>WH-026</t>
  </si>
  <si>
    <t>Verify title entry</t>
  </si>
  <si>
    <t>1. Enter a title including spaces and special characters</t>
  </si>
  <si>
    <t>A harvest work order with data</t>
  </si>
  <si>
    <t>The title is accepted, trimmed of leading/trailing whitespace and stored exactly as typed otherwise.</t>
  </si>
  <si>
    <t>WP-046</t>
  </si>
  <si>
    <t>Verify harvest work order PDF generation</t>
  </si>
  <si>
    <t>1. Open the harvest work order and click Export/Print</t>
  </si>
  <si>
    <t>Create - Assets</t>
  </si>
  <si>
    <t>The PDF generates containing block progress, picked summary, resources, assets, attachments and the map.</t>
  </si>
  <si>
    <t>WB-024</t>
  </si>
  <si>
    <t>Verify assets and implements can be added</t>
  </si>
  <si>
    <t>1. Click 'Add Asset'
2. Select one or more assets with implements</t>
  </si>
  <si>
    <t>Selected assets appear with Asset Name, Asset Type, Resource Group and No Of Resource, together with their implements.</t>
  </si>
  <si>
    <t>POI types configured and enabled</t>
  </si>
  <si>
    <t>WH-027</t>
  </si>
  <si>
    <t>Verify POI type selection lists only enabled types</t>
  </si>
  <si>
    <t>1. Open the POI Type dropdown</t>
  </si>
  <si>
    <t>Only enabled types from the web configuration are offered, each with its configured icon.</t>
  </si>
  <si>
    <t>A harvest work order with multiple blocks</t>
  </si>
  <si>
    <t>Verify the block progress section in the harvest PDF</t>
  </si>
  <si>
    <t>WP-047</t>
  </si>
  <si>
    <t>1. Export a multi-block harvest work order and inspect the PDF</t>
  </si>
  <si>
    <t>Every block appears in the progress section with values matching the detail screen.</t>
  </si>
  <si>
    <t>Ad-hoc assets permitted</t>
  </si>
  <si>
    <t>Verify ad-hoc assets can be added</t>
  </si>
  <si>
    <t>1. Add an asset not present on the D365 plan and submit</t>
  </si>
  <si>
    <t>WB-025</t>
  </si>
  <si>
    <t>The ad-hoc asset is saved and its usage flows to the Planning Actual tab after execution.</t>
  </si>
  <si>
    <t>WH-028</t>
  </si>
  <si>
    <t>A POI type selected</t>
  </si>
  <si>
    <t>Verify the POI icon appears on the map with the correct colour</t>
  </si>
  <si>
    <t>1. Select a POI type and observe the map preview</t>
  </si>
  <si>
    <t>A completed harvest work order</t>
  </si>
  <si>
    <t>WP-048</t>
  </si>
  <si>
    <t>The pin renders on the map in the configured icon and colour.</t>
  </si>
  <si>
    <t>Verify harvest tickets created from the work order surface in Harvest Central</t>
  </si>
  <si>
    <t>1. Complete a harvest work order that generated tickets
2. Open Harvest Central for the same field/variety</t>
  </si>
  <si>
    <t>Create - Draft</t>
  </si>
  <si>
    <t>The tickets appear under the correct field/variety with matching identifiers and quantities.</t>
  </si>
  <si>
    <t>Create form open with minimal data</t>
  </si>
  <si>
    <t>Verify Save as Draft</t>
  </si>
  <si>
    <t>1. Enter minimal data and click 'Save as Draft'
2. Open the Draft tab</t>
  </si>
  <si>
    <t>WB-026</t>
  </si>
  <si>
    <t>The work order is saved in Draft status, appears under the Draft filter and is editable.</t>
  </si>
  <si>
    <t>Verify comments can be added</t>
  </si>
  <si>
    <t>1. Enter multi-line comment text and save</t>
  </si>
  <si>
    <t>The comment is stored and displayed in full on mobile and on the web detail.</t>
  </si>
  <si>
    <t>WP-049</t>
  </si>
  <si>
    <t>Create - Submit</t>
  </si>
  <si>
    <t>A draft work order with all required fields</t>
  </si>
  <si>
    <t>WB-027</t>
  </si>
  <si>
    <t>Verify Submit moves the work order to To Do</t>
  </si>
  <si>
    <t>1. Open the draft, complete all required fields and click Submit</t>
  </si>
  <si>
    <t>iOS - Attachments</t>
  </si>
  <si>
    <t>Status changes to To Do, a sequence number is assigned and the work order becomes visible to the mobile app.</t>
  </si>
  <si>
    <t>Camera permission granted</t>
  </si>
  <si>
    <t>Verify a photo can be captured and attached</t>
  </si>
  <si>
    <t>1. Tap the camera icon and take a photo</t>
  </si>
  <si>
    <t>The photo is captured, attached, visible in the attachment list and uploads successfully on save.</t>
  </si>
  <si>
    <t>WP-050</t>
  </si>
  <si>
    <t>Recall</t>
  </si>
  <si>
    <t>A work order in To Do status</t>
  </si>
  <si>
    <t>Verify Recall returns a work order to Draft</t>
  </si>
  <si>
    <t>1. Click Recall on a To Do work order</t>
  </si>
  <si>
    <t>WB-028</t>
  </si>
  <si>
    <t>The work order returns to Draft and becomes editable again with a confirmation message.</t>
  </si>
  <si>
    <t>Verify a video can be recorded and attached</t>
  </si>
  <si>
    <t>1. Tap the video icon and record a short clip</t>
  </si>
  <si>
    <t>WP-051</t>
  </si>
  <si>
    <t>The video is attached, plays back in the app and uploads successfully.</t>
  </si>
  <si>
    <t>A recalled work order</t>
  </si>
  <si>
    <t>Verify edit after recall and resubmission</t>
  </si>
  <si>
    <t>1. Modify resources and materials on the recalled work order
2. Resubmit</t>
  </si>
  <si>
    <t>WB-029</t>
  </si>
  <si>
    <t>Changes are saved, the work order returns to To Do and the mobile app reflects the updated content after sync.</t>
  </si>
  <si>
    <t>Photos permission granted</t>
  </si>
  <si>
    <t>Verify an image can be attached from the gallery</t>
  </si>
  <si>
    <t>1. Tap the gallery icon and select an image</t>
  </si>
  <si>
    <t>The image is attached and uploads successfully.</t>
  </si>
  <si>
    <t>WP-052</t>
  </si>
  <si>
    <t>WB-030</t>
  </si>
  <si>
    <t>A work order recalled and resubmitted at least once</t>
  </si>
  <si>
    <t>Verify repeated recall attempts are handled correctly</t>
  </si>
  <si>
    <t>1. Recall, resubmit and recall the same work order several times</t>
  </si>
  <si>
    <t>Microphone permission granted</t>
  </si>
  <si>
    <t>Each recall succeeds and status is reported accurately. Known defect: the system has previously reported Draft while the record was actually in To Do.</t>
  </si>
  <si>
    <t>Verify an audio note can be recorded and attached</t>
  </si>
  <si>
    <t>1. Tap the audio icon and record a note</t>
  </si>
  <si>
    <t>The audio note is attached, plays back and uploads successfully.</t>
  </si>
  <si>
    <t>WP-053</t>
  </si>
  <si>
    <t>WB-031</t>
  </si>
  <si>
    <t>Edit</t>
  </si>
  <si>
    <t>A Draft or To Do work order</t>
  </si>
  <si>
    <t>Verify Edit opens the record with existing values</t>
  </si>
  <si>
    <t>Files available on the device</t>
  </si>
  <si>
    <t>1. Click the edit icon</t>
  </si>
  <si>
    <t>Verify a document can be attached</t>
  </si>
  <si>
    <t>The form opens pre-populated with the saved name, dates, priority, farm, task, supervisor, responsible, plots, materials, resources and assets.</t>
  </si>
  <si>
    <t>1. Tap the document icon and select a file</t>
  </si>
  <si>
    <t>The document is attached with its name and size shown, and uploads successfully.</t>
  </si>
  <si>
    <t>WP-054</t>
  </si>
  <si>
    <t>A completed (Done) work order</t>
  </si>
  <si>
    <t>WB-032</t>
  </si>
  <si>
    <t>Verify edit is blocked or restricted for completed work orders</t>
  </si>
  <si>
    <t>1. Attempt to edit a work order in Done status</t>
  </si>
  <si>
    <t>Editing is prevented or limited per business rules with a clear message; the record cannot be silently corrupted.</t>
  </si>
  <si>
    <t>Verify map drawing can be added as an attachment</t>
  </si>
  <si>
    <t>1. Tap the map attachment option, draw on the map, preview and confirm</t>
  </si>
  <si>
    <t>The drawing is saved as an attachment and is viewable afterwards on mobile and web. This has previously failed on some platforms.</t>
  </si>
  <si>
    <t>WP-055</t>
  </si>
  <si>
    <t>Clone</t>
  </si>
  <si>
    <t>Verify Clone Work Order copies the source record</t>
  </si>
  <si>
    <t>1. Click the clone icon
2. Inspect the resulting form</t>
  </si>
  <si>
    <t>WB-033</t>
  </si>
  <si>
    <t>A new unsaved work order opens with the source values copied; a new sequence number is reserved on save and status/dates reset per business rules.</t>
  </si>
  <si>
    <t>iOS - Save</t>
  </si>
  <si>
    <t>All fields completed</t>
  </si>
  <si>
    <t>Verify the observation saves successfully</t>
  </si>
  <si>
    <t>1. Complete every field and tap Save</t>
  </si>
  <si>
    <t>WP-056</t>
  </si>
  <si>
    <t>The observation saves with a success confirmation and appears in the mobile POI list.</t>
  </si>
  <si>
    <t>User with Delete Work Order permission; a Draft work order</t>
  </si>
  <si>
    <t>Verify the Delete action is visible for an authorised user</t>
  </si>
  <si>
    <t>1. Log in as a user holding the delete permission
2. Open the work order listing and detail and inspect the actions</t>
  </si>
  <si>
    <t>A Delete action is available. Known defect area: delete was previously missing from the listing page and only present on the detail screen.</t>
  </si>
  <si>
    <t>WB-034</t>
  </si>
  <si>
    <t>Mandatory fields left blank</t>
  </si>
  <si>
    <t>Verify validation on save with missing mandatory data</t>
  </si>
  <si>
    <t>WP-057</t>
  </si>
  <si>
    <t>1. Attempt to save with the title and POI type blank</t>
  </si>
  <si>
    <t>Save is blocked with clear inline messages naming each missing field.</t>
  </si>
  <si>
    <t>A user WITHOUT Delete Work Order permission</t>
  </si>
  <si>
    <t>Verify Delete is not available to an unauthorised user</t>
  </si>
  <si>
    <t>1. Log in without the delete permission
2. Inspect the listing and detail actions, then attempt deletion via direct API call</t>
  </si>
  <si>
    <t>The action is hidden or disabled AND the direct call is rejected server-side. Known defect: the delete permission was previously not exposed in the role screen.</t>
  </si>
  <si>
    <t>WB-035</t>
  </si>
  <si>
    <t>Sync</t>
  </si>
  <si>
    <t>WP-058</t>
  </si>
  <si>
    <t>An observation created on iOS</t>
  </si>
  <si>
    <t>Verify the observation syncs to the web app</t>
  </si>
  <si>
    <t>1. Create the observation on iOS, sync, then open the Observations tab on web</t>
  </si>
  <si>
    <t>Authorised user on a Draft work order</t>
  </si>
  <si>
    <t>The observation appears with its title, category, plot, comments and every attachment intact.</t>
  </si>
  <si>
    <t>Verify the confirmation dialog and cancel path</t>
  </si>
  <si>
    <t>1. Click Delete
2. Choose Cancel/No</t>
  </si>
  <si>
    <t>A confirmation dialog naming the work order is shown; cancelling leaves the record and the listing unchanged.</t>
  </si>
  <si>
    <t>WB-036</t>
  </si>
  <si>
    <t>WP-059</t>
  </si>
  <si>
    <t>Authorised user; a To Do work order with no dispatched inventory</t>
  </si>
  <si>
    <t>Verify an observation created offline syncs on reconnect</t>
  </si>
  <si>
    <t>1. Disable connectivity, create an observation with a photo
2. Re-enable connectivity</t>
  </si>
  <si>
    <t>Verify deletion of a To Do work order succeeds</t>
  </si>
  <si>
    <t>The observation is queued locally, uploads automatically on reconnect and appears once on web - not duplicated.</t>
  </si>
  <si>
    <t>1. Delete and confirm
2. Refresh the listing</t>
  </si>
  <si>
    <t>A success notification is shown and the work order is removed from the active list.</t>
  </si>
  <si>
    <t>WB-037</t>
  </si>
  <si>
    <t>WP-060</t>
  </si>
  <si>
    <t>Verify observation creation with location permission denied</t>
  </si>
  <si>
    <t>1. Deny location permission and attempt to create an observation</t>
  </si>
  <si>
    <t>Authorised user; a Draft work order</t>
  </si>
  <si>
    <t>The app explains that location is needed, offers a settings route and does not save a null or zero coordinate.</t>
  </si>
  <si>
    <t>Verify deletion of a Draft work order succeeds with no inventory reversal</t>
  </si>
  <si>
    <t>1. Delete a Draft work order and confirm
2. Check for inventory movement records</t>
  </si>
  <si>
    <t>The work order is deleted cleanly and no inventory transaction or reversal is triggered.</t>
  </si>
  <si>
    <t>WB-038</t>
  </si>
  <si>
    <t>WP-061</t>
  </si>
  <si>
    <t>Verify handling of an oversize attachment</t>
  </si>
  <si>
    <t>1. Attempt to attach a file above the configured size limit</t>
  </si>
  <si>
    <t>The attachment is rejected with a message naming the size limit; no partial upload is stored.</t>
  </si>
  <si>
    <t>Work orders in In Progress, Review and Done statuses</t>
  </si>
  <si>
    <t>Verify deletion is blocked outside Draft and To Do</t>
  </si>
  <si>
    <t>1. Attempt to delete a work order in each of In Progress, Review and Done</t>
  </si>
  <si>
    <t>Deletion is refused each time with a clear message and the records remain unchanged.</t>
  </si>
  <si>
    <t>WB-039</t>
  </si>
  <si>
    <t>Permissions</t>
  </si>
  <si>
    <t>A restricted role account</t>
  </si>
  <si>
    <t>Verify observation visibility respects role and location rights</t>
  </si>
  <si>
    <t>1. Create an observation as one user
2. Sign in as a user without rights to that location and search for it</t>
  </si>
  <si>
    <t>The observation is not visible to a user lacking rights to its location on either platform.</t>
  </si>
  <si>
    <t>WP-062</t>
  </si>
  <si>
    <t>A To Do work order with dispatched inventory</t>
  </si>
  <si>
    <t>Verify deletion is blocked when inventory has been dispatched</t>
  </si>
  <si>
    <t>1. Attempt to delete the work order and confirm</t>
  </si>
  <si>
    <t>A validation error instructs the user to return the dispatched quantity first; the work order is not deleted and inventory is untouched.</t>
  </si>
  <si>
    <t>WP-063</t>
  </si>
  <si>
    <t>A work order linked to a D365 ad-hoc task and activities</t>
  </si>
  <si>
    <t>Verify ERP records are removed when the work order is deleted</t>
  </si>
  <si>
    <t>1. Note the linked D365 ad-hoc task and activity IDs
2. Delete the work order
3. Query D365 for each reference</t>
  </si>
  <si>
    <t>The linked ad-hoc task and all associated activities are removed from the project WBS. Known defect: ad-hoc tasks have previously survived deletion in D365.</t>
  </si>
  <si>
    <t>WP-064</t>
  </si>
  <si>
    <t>Multiple work orders exist</t>
  </si>
  <si>
    <t>Verify deleting one work order does not affect others</t>
  </si>
  <si>
    <t>1. Note the total count, delete one work order and re-inspect the remaining records</t>
  </si>
  <si>
    <t>All other work orders are unchanged and the count decreases by exactly one.</t>
  </si>
  <si>
    <t>WP-065</t>
  </si>
  <si>
    <t>A deleted work order</t>
  </si>
  <si>
    <t>Verify the deleted work order is removed from Planning and Maps</t>
  </si>
  <si>
    <t>1. Delete a work order
2. Check the plot's Planning board and the Maps work-order layers</t>
  </si>
  <si>
    <t>The activity card is gone from Planning and the plot is no longer highlighted under the corresponding Maps layer.</t>
  </si>
  <si>
    <t>WP-066</t>
  </si>
  <si>
    <t>A submitted planned work order</t>
  </si>
  <si>
    <t>Verify the work order syncs to the iOS app with all data</t>
  </si>
  <si>
    <t>1. Submit a work order on web
2. Sync the iOS app and open the work order</t>
  </si>
  <si>
    <t>The work order appears on iOS with the correct name, dates, plots, materials, resources and assets.</t>
  </si>
  <si>
    <t>WP-067</t>
  </si>
  <si>
    <t>A To Do work order assigned to the tester</t>
  </si>
  <si>
    <t>Verify a Supervisor can start the work order on iOS</t>
  </si>
  <si>
    <t>1. Log in as Supervisor on iOS
2. Open the work order and start it</t>
  </si>
  <si>
    <t>The work order status changes to In Progress and the change is visible on web after refresh.</t>
  </si>
  <si>
    <t>WP-068</t>
  </si>
  <si>
    <t>An In Progress work order</t>
  </si>
  <si>
    <t>Verify a Resource can start a job</t>
  </si>
  <si>
    <t>1. Log in as the assigned resource
2. Open the work order and start the job</t>
  </si>
  <si>
    <t>The job starts, a start timestamp is recorded and the resource's own job appears as active.</t>
  </si>
  <si>
    <t>WP-069</t>
  </si>
  <si>
    <t>A resource with an active job</t>
  </si>
  <si>
    <t>Verify entering intermediate progress</t>
  </si>
  <si>
    <t>1. Enter partial progress in acres and save</t>
  </si>
  <si>
    <t>The progress is recorded against the correct plot, the work order progress recalculates and no completion is implied.</t>
  </si>
  <si>
    <t>WP-070</t>
  </si>
  <si>
    <t>Verify material consumption entry</t>
  </si>
  <si>
    <t>1. Enter material consumption against the active job and save</t>
  </si>
  <si>
    <t>The consumption is recorded against the correct plot and material with the correct quantity and unit.</t>
  </si>
  <si>
    <t>WP-071</t>
  </si>
  <si>
    <t>A multi-plot work order with consumption entered on several plots</t>
  </si>
  <si>
    <t>Verify consumption is posted per plot, not duplicated across plots</t>
  </si>
  <si>
    <t>1. Enter different consumption values on three plots
2. Review consumption on web and in D365</t>
  </si>
  <si>
    <t>Each plot carries its own distinct consumption value. Known defect: the same consumption value was previously posted to every plot.</t>
  </si>
  <si>
    <t>WP-072</t>
  </si>
  <si>
    <t>Verify a resource cannot start a second job before ending the first</t>
  </si>
  <si>
    <t>1. With one job active, attempt to start another job on a different work order</t>
  </si>
  <si>
    <t>The action is blocked with a clear message, or is permitted only where 'work on multiple work orders' is granted to that role.</t>
  </si>
  <si>
    <t>WP-073</t>
  </si>
  <si>
    <t>A resource with permission to work multiple work orders</t>
  </si>
  <si>
    <t>Verify working on multiple work orders concurrently</t>
  </si>
  <si>
    <t>1. Start jobs on two work orders as a permitted role
2. Enter progress on each and end both</t>
  </si>
  <si>
    <t>Hours and progress are attributed to the correct work order with no cross-contamination of logged time.</t>
  </si>
  <si>
    <t>WP-074</t>
  </si>
  <si>
    <t>An active job with progress entered</t>
  </si>
  <si>
    <t>Verify End Job</t>
  </si>
  <si>
    <t>1. End the job</t>
  </si>
  <si>
    <t>The job ends, spent hours are calculated correctly and the plot progress is finalised for that resource.</t>
  </si>
  <si>
    <t>WP-075</t>
  </si>
  <si>
    <t>All jobs on a work order ended</t>
  </si>
  <si>
    <t>Verify End Work Order moves it to Review</t>
  </si>
  <si>
    <t>1. End the work order as Supervisor/Responsible</t>
  </si>
  <si>
    <t>The work order moves to Review status and this is reflected on web after refresh.</t>
  </si>
  <si>
    <t>WP-076</t>
  </si>
  <si>
    <t>A work order with several plots partially complete</t>
  </si>
  <si>
    <t>Verify partial end of a work order</t>
  </si>
  <si>
    <t>1. End the work order while some plots remain incomplete</t>
  </si>
  <si>
    <t>The partial end follows business rules, the incomplete plots are handled as specified and progress totals remain accurate.</t>
  </si>
  <si>
    <t>WP-077</t>
  </si>
  <si>
    <t>Multiple resources assigned to one work order</t>
  </si>
  <si>
    <t>Verify multiple resources working the same work order</t>
  </si>
  <si>
    <t>1. Have two resources start and end their jobs independently on the same work order</t>
  </si>
  <si>
    <t>Each resource's hours and progress are recorded separately with no conflict or overwriting.</t>
  </si>
  <si>
    <t>WP-078</t>
  </si>
  <si>
    <t>A Supervisor/Manager account</t>
  </si>
  <si>
    <t>Verify Leave and Assign Responsible</t>
  </si>
  <si>
    <t>1. As the current responsible, use Leave and Assign Responsible to hand over to another user</t>
  </si>
  <si>
    <t>The new responsible receives the work order, the handover is logged and the outgoing user's hours are closed correctly.</t>
  </si>
  <si>
    <t>WP-079</t>
  </si>
  <si>
    <t>Web Adjustment</t>
  </si>
  <si>
    <t>An In Progress work order with logged resource hours</t>
  </si>
  <si>
    <t>Verify resource hours adjustment from web</t>
  </si>
  <si>
    <t>1. Open the work order on web, edit resource hours and save</t>
  </si>
  <si>
    <t>Adjusted hours are saved and reflected on the mobile app and in the Planning hour log. This has previously failed - verify carefully.</t>
  </si>
  <si>
    <t>WP-080</t>
  </si>
  <si>
    <t>An In Progress work order with material consumption</t>
  </si>
  <si>
    <t>Verify material adjustment from web</t>
  </si>
  <si>
    <t>1. Edit a material consumption value on web and save</t>
  </si>
  <si>
    <t>The adjusted value is persisted, recalculated into totals and reflected on mobile after sync.</t>
  </si>
  <si>
    <t>WP-081</t>
  </si>
  <si>
    <t>An In Progress work order with asset usage</t>
  </si>
  <si>
    <t>Verify asset adjustment from web</t>
  </si>
  <si>
    <t>1. Edit asset usage hours on web and save</t>
  </si>
  <si>
    <t>The adjustment is saved and reflected in the work order detail and downstream posting.</t>
  </si>
  <si>
    <t>WP-082</t>
  </si>
  <si>
    <t>A work order adjusted on web and on mobile</t>
  </si>
  <si>
    <t>Verify adjustments made on both platforms reconcile</t>
  </si>
  <si>
    <t>1. Adjust progress on web, then on mobile for the same work order
2. Compare both views</t>
  </si>
  <si>
    <t>Both platforms show the same final values with the correct last-write-wins or conflict rule applied, and an audit trail of each change.</t>
  </si>
  <si>
    <t>WP-083</t>
  </si>
  <si>
    <t>A work order being executed on mobile</t>
  </si>
  <si>
    <t>Verify real-time status sync to web</t>
  </si>
  <si>
    <t>1. Change status on mobile
2. Refresh the web list</t>
  </si>
  <si>
    <t>The web status matches mobile within the expected sync window.</t>
  </si>
  <si>
    <t>WP-084</t>
  </si>
  <si>
    <t>Progress entered on mobile</t>
  </si>
  <si>
    <t>Verify progress data syncs accurately to web</t>
  </si>
  <si>
    <t>1. Enter progress on mobile, sync and compare against the web work order detail</t>
  </si>
  <si>
    <t>Progress values, plot allocation and timestamps match exactly.</t>
  </si>
  <si>
    <t>WP-085</t>
  </si>
  <si>
    <t>Detail View</t>
  </si>
  <si>
    <t>A work order with logged activity</t>
  </si>
  <si>
    <t>Verify the Resource Hours Log section</t>
  </si>
  <si>
    <t>1. Open the work order detail and read the Resources section</t>
  </si>
  <si>
    <t>Hours are displayed per resource, correctly totalled, and reconcile with the mobile submissions.</t>
  </si>
  <si>
    <t>WP-086</t>
  </si>
  <si>
    <t>A work order with material consumption</t>
  </si>
  <si>
    <t>Verify the Material Consumption Log section</t>
  </si>
  <si>
    <t>1. Read the Materials section on the detail view</t>
  </si>
  <si>
    <t>Consumption is shown per material and per plot with the correct quantities and units.</t>
  </si>
  <si>
    <t>WP-087</t>
  </si>
  <si>
    <t>A work order with asset usage</t>
  </si>
  <si>
    <t>Verify the Asset Usage Log section</t>
  </si>
  <si>
    <t>1. Read the Assets section on the detail view</t>
  </si>
  <si>
    <t>Asset usage hours are displayed correctly per asset.</t>
  </si>
  <si>
    <t>WP-088</t>
  </si>
  <si>
    <t>A multi-plot work order in progress</t>
  </si>
  <si>
    <t>Verify the Block/Plot Progress summary</t>
  </si>
  <si>
    <t>1. Read the Blocks section on the detail view</t>
  </si>
  <si>
    <t>Progress is summarised per plot, the totals reconcile with the header progress and no plot is missing.</t>
  </si>
  <si>
    <t>WP-089</t>
  </si>
  <si>
    <t>Role Change</t>
  </si>
  <si>
    <t>Verify Supervisor reassignment propagates to mobile</t>
  </si>
  <si>
    <t>1. Change the Supervisor on web and save
2. Refresh the iOS app</t>
  </si>
  <si>
    <t>The new supervisor gains access on mobile and the previous one loses supervisory actions.</t>
  </si>
  <si>
    <t>WP-090</t>
  </si>
  <si>
    <t>Verify Responsible reassignment propagates to mobile</t>
  </si>
  <si>
    <t>1. Change the Responsible on web and save
2. Refresh the iOS app</t>
  </si>
  <si>
    <t>The new responsible gains access on mobile and the change is logged.</t>
  </si>
  <si>
    <t>WP-091</t>
  </si>
  <si>
    <t>Posting</t>
  </si>
  <si>
    <t>A completed work order with materials and hours</t>
  </si>
  <si>
    <t>Verify material posting to D365</t>
  </si>
  <si>
    <t>1. Complete the work order and trigger/await posting
2. Verify the D365 journal entries</t>
  </si>
  <si>
    <t>Material consumption posts to D365 with the correct item, quantity, plot and project reference.</t>
  </si>
  <si>
    <t>WP-092</t>
  </si>
  <si>
    <t>A completed work order with machine usage</t>
  </si>
  <si>
    <t>Verify machine/asset posting to D365</t>
  </si>
  <si>
    <t>1. Complete the work order and verify the machine posting job</t>
  </si>
  <si>
    <t>Machine hours post correctly. Known defect area: the machine posting job has previously failed to trigger.</t>
  </si>
  <si>
    <t>WP-093</t>
  </si>
  <si>
    <t>Load</t>
  </si>
  <si>
    <t>Test data with 10, 30, 50, 75 and 100 plot work orders</t>
  </si>
  <si>
    <t>Verify work order creation response time scales acceptably</t>
  </si>
  <si>
    <t>1. Create work orders with 10, 30, 50, 75 and 100 plots in turn
2. Record the save response time for each</t>
  </si>
  <si>
    <t>Each save completes without timeout and the recorded times are within the agreed thresholds for each plot count.</t>
  </si>
  <si>
    <t>WP-094</t>
  </si>
  <si>
    <t>A 100-plot work order assigned to the tester</t>
  </si>
  <si>
    <t>Verify mobile performance with a maximum-size work order</t>
  </si>
  <si>
    <t>1. Open the work order on iOS
2. Scroll the plot list, open several plots and enter progress</t>
  </si>
  <si>
    <t>Initial load, list scrolling, plot detail and progress save all complete within the agreed thresholds with no crash or memory warning.</t>
  </si>
  <si>
    <t>WP-095</t>
  </si>
  <si>
    <t>One work order open by several users</t>
  </si>
  <si>
    <t>Verify concurrent progress entry by multiple users</t>
  </si>
  <si>
    <t>1. Have four or more users enter progress on different plots of the same work order simultaneously</t>
  </si>
  <si>
    <t>All entries are saved, no deadlock or lost update occurs, and the aggregate work order progress is arithmetically correct.</t>
  </si>
  <si>
    <t>AgriERP / AgriFarm  -  Vann Brothers Regression Suite  |  Harvest Central</t>
  </si>
  <si>
    <t>HC-001</t>
  </si>
  <si>
    <t>Verify the Harvest Central module loads the field/variety list</t>
  </si>
  <si>
    <t>1. Click 'Harvest Central' in the header</t>
  </si>
  <si>
    <t>The route resolves to /harvest-central and the grid renders with Field, Variety, No Of Harvest Tickets, Updated By, Updated By Date and Action columns.</t>
  </si>
  <si>
    <t>AgriERP / AgriFarm  -  Vann Brothers Regression Suite  |  Template Management</t>
  </si>
  <si>
    <t>HC-002</t>
  </si>
  <si>
    <t>Harvest Central list open</t>
  </si>
  <si>
    <t>Verify one row exists per field/variety combination</t>
  </si>
  <si>
    <t>1. Inspect rows for a field that carries multiple varieties</t>
  </si>
  <si>
    <t>Each field/variety combination is a separate row with its own ticket count and no duplicate rows exist.</t>
  </si>
  <si>
    <t>HC-003</t>
  </si>
  <si>
    <t>Verify 'No Of Harvest Tickets' matches the detail view</t>
  </si>
  <si>
    <t>1. Note the ticket count on a row
2. Open the row detail and count the tickets</t>
  </si>
  <si>
    <t>The count on the list equals the number of tickets in the detail grid for every row checked.</t>
  </si>
  <si>
    <t>HC-004</t>
  </si>
  <si>
    <t>Verify 'Updated By' and 'Updated By Date' are populated</t>
  </si>
  <si>
    <t>1. Inspect several rows with and without tickets</t>
  </si>
  <si>
    <t>Both fields are populated for rows with tickets, reflect the most recent update and use the configured date format.</t>
  </si>
  <si>
    <t>HC-005</t>
  </si>
  <si>
    <t>TM-001</t>
  </si>
  <si>
    <t>Verify per-column search on Field and Variety</t>
  </si>
  <si>
    <t>1. Search the Field column for a value
2. Search the Variety column for a value</t>
  </si>
  <si>
    <t>Only matching rows are returned in each case; clearing the search restores the full list.</t>
  </si>
  <si>
    <t>Landing</t>
  </si>
  <si>
    <t>Verify the Template Management landing page</t>
  </si>
  <si>
    <t>1. Click 'Template Management' in the header</t>
  </si>
  <si>
    <t>HC-006</t>
  </si>
  <si>
    <t>The route resolves to /template-mgmt and cards are shown for Inspection Template, Material Template and Attribute Template.</t>
  </si>
  <si>
    <t>List - Paging</t>
  </si>
  <si>
    <t>Verify page size and pagination</t>
  </si>
  <si>
    <t>1. Change the page size and page through the list</t>
  </si>
  <si>
    <t>Rows per page and the record count update correctly with no rows duplicated or skipped across pages.</t>
  </si>
  <si>
    <t>HC-007</t>
  </si>
  <si>
    <t>List - Refresh</t>
  </si>
  <si>
    <t>Verify Refresh Data reloads the list</t>
  </si>
  <si>
    <t>1. Create a ticket in another session
2. Click Refresh Data</t>
  </si>
  <si>
    <t>The data reloads and the new ticket is reflected in the counts.</t>
  </si>
  <si>
    <t>HC-008</t>
  </si>
  <si>
    <t>Detail - Load</t>
  </si>
  <si>
    <t>A field/variety row visible</t>
  </si>
  <si>
    <t>Verify 'View details' opens the harvest detail page</t>
  </si>
  <si>
    <t>1. Click the chevron in the Action column</t>
  </si>
  <si>
    <t>The detail route resolves and the Information panel plus the Harvest Detail grid render.</t>
  </si>
  <si>
    <t>TM-002</t>
  </si>
  <si>
    <t>HC-009</t>
  </si>
  <si>
    <t>Detail - Information</t>
  </si>
  <si>
    <t>Harvest detail open</t>
  </si>
  <si>
    <t>Verify the Information panel content</t>
  </si>
  <si>
    <t>1. Read the Information panel</t>
  </si>
  <si>
    <t>Landing page open</t>
  </si>
  <si>
    <t>Grower, Farm, Season, Field, Variety, Hulling Location and Linked Project are shown and match the selected row and current season.</t>
  </si>
  <si>
    <t>Verify the card counts match the underlying lists</t>
  </si>
  <si>
    <t>1. Note each card count
2. Open each list and compare the record totals</t>
  </si>
  <si>
    <t>Card counts equal the total records in the corresponding list.</t>
  </si>
  <si>
    <t>HC-010</t>
  </si>
  <si>
    <t>Detail - Grid</t>
  </si>
  <si>
    <t>Verify the Harvest Detail column set</t>
  </si>
  <si>
    <t>TM-003</t>
  </si>
  <si>
    <t>Columns include the select checkbox, Harvest Ticket No, Manual Ticket No, Linked Project, Load Type, Standard Quantity, Actual Weight, Driver Name, Truck License Plate, Front and Rear Trailer Plate and audit columns.</t>
  </si>
  <si>
    <t>Verify each card navigates to its list</t>
  </si>
  <si>
    <t>1. Click each card in turn</t>
  </si>
  <si>
    <t>HC-011</t>
  </si>
  <si>
    <t>Routes resolve to the inspection templates, material templates and attribute templates lists respectively.</t>
  </si>
  <si>
    <t>Harvest detail with tickets</t>
  </si>
  <si>
    <t>Verify harvest ticket number format and uniqueness</t>
  </si>
  <si>
    <t>1. Inspect the Harvest Ticket No values across the season</t>
  </si>
  <si>
    <t>TM-004</t>
  </si>
  <si>
    <t>Ticket numbers follow the configured pattern and are unique across the season with no reuse after deletion.</t>
  </si>
  <si>
    <t>Inspection - List</t>
  </si>
  <si>
    <t>Inspection Templates list open</t>
  </si>
  <si>
    <t>Verify the column set</t>
  </si>
  <si>
    <t>HC-012</t>
  </si>
  <si>
    <t>Columns are Name, Status, Type, Attribute Count, Default, Location, Created By, Created At, Modified By, Modified At and Actions.</t>
  </si>
  <si>
    <t>Harvest detail with posted and unposted tickets</t>
  </si>
  <si>
    <t>Verify Standard Quantity and Actual Weight behaviour</t>
  </si>
  <si>
    <t>1. Compare Standard Quantity with Actual Weight on posted and unposted tickets</t>
  </si>
  <si>
    <t>TM-005</t>
  </si>
  <si>
    <t>Standard Quantity carries the configured default; Actual Weight populates only after the ticket is weighed/posted and is clearly empty before that.</t>
  </si>
  <si>
    <t>Verify the All / Draft / Published status tabs</t>
  </si>
  <si>
    <t>1. Click each tab in turn</t>
  </si>
  <si>
    <t>Each tab returns only templates in that state; 'All' returns the union and the counts are consistent.</t>
  </si>
  <si>
    <t>HC-013</t>
  </si>
  <si>
    <t>Verify Load Type values</t>
  </si>
  <si>
    <t>1. Inspect the Load Type column across tickets</t>
  </si>
  <si>
    <t>TM-006</t>
  </si>
  <si>
    <t>Values render correctly and match the flags set at creation for every ticket.</t>
  </si>
  <si>
    <t>Verify the Filter panel and column search</t>
  </si>
  <si>
    <t>1. Use the Filter panel, then a Name column search</t>
  </si>
  <si>
    <t>The grid narrows to matching templates and both filter and search can be cleared independently.</t>
  </si>
  <si>
    <t>HC-014</t>
  </si>
  <si>
    <t>Create Ticket</t>
  </si>
  <si>
    <t>Verify the Create Harvest Ticket panel opens with context pre-filled</t>
  </si>
  <si>
    <t>TM-007</t>
  </si>
  <si>
    <t>1. Click 'Create'</t>
  </si>
  <si>
    <t>The panel opens with Grower, Farm, Season and Hulling Location pre-filled read-only and empty entry fields below.</t>
  </si>
  <si>
    <t>Verify sorting on the template columns</t>
  </si>
  <si>
    <t>1. Sort by Name, then Created At, then Attribute Count</t>
  </si>
  <si>
    <t>Each column sorts correctly ascending and descending, with dates chronological and counts numeric.</t>
  </si>
  <si>
    <t>HC-015</t>
  </si>
  <si>
    <t>Create panel open</t>
  </si>
  <si>
    <t>TM-008</t>
  </si>
  <si>
    <t>1. Inspect the labels</t>
  </si>
  <si>
    <t>Field, Variety, Driver Name, Truck License Plate, Front Trailer Plate and Rear Trailer Plate are marked required.</t>
  </si>
  <si>
    <t>Verify Attribute Count matches the template detail</t>
  </si>
  <si>
    <t>1. Note the Attribute Count on a row
2. Open View Detail and count the attributes</t>
  </si>
  <si>
    <t>The count equals the number of attributes on the template for every row checked.</t>
  </si>
  <si>
    <t>HC-016</t>
  </si>
  <si>
    <t>AgriERP / AgriFarm  -  Vann Brothers Regression Suite  |  Communication Center</t>
  </si>
  <si>
    <t>Verify saving with mandatory fields blank is rejected</t>
  </si>
  <si>
    <t>1. Click 'Save Harvest Ticket' without entering anything</t>
  </si>
  <si>
    <t>TM-009</t>
  </si>
  <si>
    <t>The save is blocked with inline validation on each required field and no ticket is created.</t>
  </si>
  <si>
    <t>Verify the Template Status (Enable/Disable) toggle</t>
  </si>
  <si>
    <t>1. Toggle a template from Enabled to Disabled and back</t>
  </si>
  <si>
    <t>The change is saved with a confirmation and a disabled template is no longer offered on the Create Work Order form.</t>
  </si>
  <si>
    <t>HC-017</t>
  </si>
  <si>
    <t>Verify the Field dropdown lists fields for the selected farm/season</t>
  </si>
  <si>
    <t>TM-010</t>
  </si>
  <si>
    <t>1. Open the Field dropdown</t>
  </si>
  <si>
    <t>Only fields belonging to the selected farm and season are listed and the list is searchable.</t>
  </si>
  <si>
    <t>A template row visible</t>
  </si>
  <si>
    <t>Verify View Detail shows the full template definition</t>
  </si>
  <si>
    <t>1. Click View Detail</t>
  </si>
  <si>
    <t>A read-only view shows name, status, type, default location and the ordered attribute list.</t>
  </si>
  <si>
    <t>HC-018</t>
  </si>
  <si>
    <t>TM-011</t>
  </si>
  <si>
    <t>Verify the Variety dropdown is filtered by the chosen field</t>
  </si>
  <si>
    <t>Verify Clone Template copies the definition</t>
  </si>
  <si>
    <t>1. Select a field, then open Variety
2. Change the field and re-inspect</t>
  </si>
  <si>
    <t>1. Click Clone Template and inspect the resulting form</t>
  </si>
  <si>
    <t>Only varieties planted in that field for the season are offered; changing the field resets the variety selection.</t>
  </si>
  <si>
    <t>A new template form opens with the source attributes and settings copied; the source template is unchanged.</t>
  </si>
  <si>
    <t>HC-019</t>
  </si>
  <si>
    <t>TM-012</t>
  </si>
  <si>
    <t>Verify the refresh control on the template list</t>
  </si>
  <si>
    <t>Verify the Manual Ticket # (paper reference) field</t>
  </si>
  <si>
    <t>1. Click the refresh button and inspect its tooltip</t>
  </si>
  <si>
    <t>1. Enter a paper ticket reference and save
2. Reopen the ticket</t>
  </si>
  <si>
    <t>The reference is stored and displayed in the Manual Ticket No column; leaving it blank is allowed.</t>
  </si>
  <si>
    <t>The list reloads and the tooltip shows a translated label, not a raw resource key.</t>
  </si>
  <si>
    <t>TM-013</t>
  </si>
  <si>
    <t>HC-020</t>
  </si>
  <si>
    <t>Inspection - Create</t>
  </si>
  <si>
    <t>Verify the Create template wizard opens</t>
  </si>
  <si>
    <t>Verify Last Load and Split Load flags</t>
  </si>
  <si>
    <t>CC-001</t>
  </si>
  <si>
    <t>1. Save one ticket with 'Last Load' and another with 'Split Load'</t>
  </si>
  <si>
    <t>The wizard opens on 'Enter Title &amp; Select Attributes' with a General section and the attribute picker.</t>
  </si>
  <si>
    <t>Each flag is persisted, reflected in the Load Type column and carried through to D365 posting.</t>
  </si>
  <si>
    <t>HC-021</t>
  </si>
  <si>
    <t>TM-014</t>
  </si>
  <si>
    <t>Verify the Communication Center loads the conversation list</t>
  </si>
  <si>
    <t>1. Click 'Communication Center' in the header</t>
  </si>
  <si>
    <t>Fleet records configured</t>
  </si>
  <si>
    <t>The route resolves to /messaging and the Messages list renders with avatars, conversation titles and last-message previews.</t>
  </si>
  <si>
    <t>Verify Fleet selection auto-populates driver and plates</t>
  </si>
  <si>
    <t>1. Select a Fleet entry</t>
  </si>
  <si>
    <t>Create wizard open</t>
  </si>
  <si>
    <t>Driver Name and all three plate fields auto-fill from the fleet record and remain editable.</t>
  </si>
  <si>
    <t>Verify mandatory fields</t>
  </si>
  <si>
    <t>Name, Default Locations, Template Status and at least one Selected Attribute are marked required.</t>
  </si>
  <si>
    <t>HC-022</t>
  </si>
  <si>
    <t>TM-015</t>
  </si>
  <si>
    <t>Verify licence plate field validation</t>
  </si>
  <si>
    <t>1. Enter over-length values and special characters in the plate fields</t>
  </si>
  <si>
    <t>Input is validated to the configured length and character rules with a clear message; invalid values cannot be saved.</t>
  </si>
  <si>
    <t>Verify saving with no name is rejected</t>
  </si>
  <si>
    <t>1. Leave Name blank and click 'Save as Draft'</t>
  </si>
  <si>
    <t>Validation blocks the save with an inline message and no template is created.</t>
  </si>
  <si>
    <t>HC-023</t>
  </si>
  <si>
    <t>TM-016</t>
  </si>
  <si>
    <t>CC-002</t>
  </si>
  <si>
    <t>Verify Standard Quantity default and numeric validation</t>
  </si>
  <si>
    <t>An existing template name known</t>
  </si>
  <si>
    <t>1. Observe the default, then enter a valid change, a negative value, zero and a non-numeric value</t>
  </si>
  <si>
    <t>Verify duplicate template name handling</t>
  </si>
  <si>
    <t>The configured default is applied; valid numeric changes are accepted; negative, zero and non-numeric values are rejected with a message.</t>
  </si>
  <si>
    <t>1. Enter the name of an existing template and save</t>
  </si>
  <si>
    <t>Either the duplicate is rejected with a clear message or uniqueness is not required - the behaviour is deterministic and documented.</t>
  </si>
  <si>
    <t>Communication Center open</t>
  </si>
  <si>
    <t>Verify the chat screen loads within the agreed threshold</t>
  </si>
  <si>
    <t>1. Open the Communication Center and measure time to an interactive conversation list
2. Repeat three times</t>
  </si>
  <si>
    <t>The list becomes interactive within the agreed threshold on each attempt and the measured values are recorded.</t>
  </si>
  <si>
    <t>HC-024</t>
  </si>
  <si>
    <t>TM-017</t>
  </si>
  <si>
    <t>Verify attachment upload on a ticket</t>
  </si>
  <si>
    <t>1. Click 'Upload Files' and attach a supported image/PDF
2. Save and reopen the ticket</t>
  </si>
  <si>
    <t>CC-003</t>
  </si>
  <si>
    <t>The file uploads with a progress indicator, is listed on the ticket and can be reopened via View Attachments.</t>
  </si>
  <si>
    <t>Verify the Default Locations selector</t>
  </si>
  <si>
    <t>1. Open Default Locations and select one or more locations</t>
  </si>
  <si>
    <t>Conversation List</t>
  </si>
  <si>
    <t>Only locations available to the user are listed and the selection is retained on save.</t>
  </si>
  <si>
    <t>Messages list open</t>
  </si>
  <si>
    <t>Verify conversation titles for the different chat types</t>
  </si>
  <si>
    <t>1. Inspect the list</t>
  </si>
  <si>
    <t>HC-025</t>
  </si>
  <si>
    <t>Direct chats show the participant name and employee number, work-order/plot chats show the task and project reference, and group chats show the group name.</t>
  </si>
  <si>
    <t>TM-018</t>
  </si>
  <si>
    <t>Verify unsupported or over-size attachment handling</t>
  </si>
  <si>
    <t>1. Attempt to upload an unsupported file type and an over-size file</t>
  </si>
  <si>
    <t>Both are rejected with a clear message naming the allowed types and size limit; no partial upload is stored.</t>
  </si>
  <si>
    <t>Verify the default number of inspection locations can be set</t>
  </si>
  <si>
    <t>CC-004</t>
  </si>
  <si>
    <t>1. Set the default number of locations and save the template
2. Create an inspection work order from it and open it on iOS</t>
  </si>
  <si>
    <t>The mobile inspection presents exactly the configured number of default locations.</t>
  </si>
  <si>
    <t>Conversations with non-text last messages</t>
  </si>
  <si>
    <t>HC-026</t>
  </si>
  <si>
    <t>Verify last-message preview for media messages</t>
  </si>
  <si>
    <t>1. Find conversations whose last message is a file, image, audio or video</t>
  </si>
  <si>
    <t>The preview shows the correct media type label rather than a blank line or raw file path.</t>
  </si>
  <si>
    <t>Create panel open with data entered</t>
  </si>
  <si>
    <t>TM-019</t>
  </si>
  <si>
    <t>Verify Cancel discards the ticket</t>
  </si>
  <si>
    <t>1. Enter data then click 'Cancel'</t>
  </si>
  <si>
    <t>The panel closes without creating a ticket and the grid is unchanged.</t>
  </si>
  <si>
    <t>Verify the Available Attributes list and attribute types</t>
  </si>
  <si>
    <t>1. Inspect the Available Attributes list</t>
  </si>
  <si>
    <t>CC-005</t>
  </si>
  <si>
    <t>All enabled attributes are listed with their control type (Comment Box, Custom Slider, Date Time Picker, Key Value, List Picker, Number Slider, Switch).</t>
  </si>
  <si>
    <t>HC-027</t>
  </si>
  <si>
    <t>Two accounts available</t>
  </si>
  <si>
    <t>Verify unread indicators</t>
  </si>
  <si>
    <t>All mandatory fields completed</t>
  </si>
  <si>
    <t>1. Have another user send a message to the tester
2. Observe the list, then open the conversation</t>
  </si>
  <si>
    <t>Verify a harvest ticket is created successfully</t>
  </si>
  <si>
    <t>The conversation moves to the top with an unread count; opening it clears the indicator on both platforms.</t>
  </si>
  <si>
    <t>1. Complete all mandatory fields and click 'Save Harvest Ticket'</t>
  </si>
  <si>
    <t>TM-020</t>
  </si>
  <si>
    <t>A success message is shown, the ticket appears with a generated Harvest Ticket No and the field/variety ticket count increments.</t>
  </si>
  <si>
    <t>Verify attributes can be added to and removed from the template</t>
  </si>
  <si>
    <t>HC-028</t>
  </si>
  <si>
    <t>CC-006</t>
  </si>
  <si>
    <t>1. Move several attributes to Selected Attributes
2. Remove one</t>
  </si>
  <si>
    <t>Edit Ticket</t>
  </si>
  <si>
    <t>An unposted ticket exists</t>
  </si>
  <si>
    <t>The Selected Attributes list updates in both directions and the count reflects the current selection.</t>
  </si>
  <si>
    <t>Verify Edit opens the ticket with saved values</t>
  </si>
  <si>
    <t>1. Click the edit icon on a ticket row</t>
  </si>
  <si>
    <t>Verify the conversation search box</t>
  </si>
  <si>
    <t>The panel opens pre-populated with all saved values including attachments.</t>
  </si>
  <si>
    <t>1. Type part of a participant or conversation name</t>
  </si>
  <si>
    <t>Only matching conversations remain; clearing restores the full list and a no-match search shows a clear empty state.</t>
  </si>
  <si>
    <t>TM-021</t>
  </si>
  <si>
    <t>HC-029</t>
  </si>
  <si>
    <t>An unposted ticket open for editing</t>
  </si>
  <si>
    <t>Verify changes are persisted</t>
  </si>
  <si>
    <t>1. Change the driver and a plate value, save, then reopen the ticket</t>
  </si>
  <si>
    <t>CC-007</t>
  </si>
  <si>
    <t>Verify the available attribute filters</t>
  </si>
  <si>
    <t>The updated values are shown in the grid and on reopen, and the audit columns reflect the change.</t>
  </si>
  <si>
    <t>1. Filter the Available Attributes list by type and by name</t>
  </si>
  <si>
    <t>The list narrows correctly and the filters can be cleared.</t>
  </si>
  <si>
    <t>A long conversation list</t>
  </si>
  <si>
    <t>Verify list scrolling and lazy loading</t>
  </si>
  <si>
    <t>1. Scroll to the bottom of the conversation list</t>
  </si>
  <si>
    <t>Older conversations load progressively without duplication and the scroll position remains stable.</t>
  </si>
  <si>
    <t>HC-030</t>
  </si>
  <si>
    <t>TM-022</t>
  </si>
  <si>
    <t>A posted ticket exists</t>
  </si>
  <si>
    <t>Attributes selected</t>
  </si>
  <si>
    <t>Verify a posted ticket cannot be edited or deleted</t>
  </si>
  <si>
    <t>Verify attribute ordering is set and preserved</t>
  </si>
  <si>
    <t>1. Attempt to edit and then delete a posted ticket</t>
  </si>
  <si>
    <t>1. Reorder the selected attributes
2. Save, reopen the template and open it on iOS</t>
  </si>
  <si>
    <t>Both actions are blocked with a clear business message and the D365 linkage remains intact.</t>
  </si>
  <si>
    <t>The saved order matches the order set on both web and the mobile inspection form.</t>
  </si>
  <si>
    <t>CC-008</t>
  </si>
  <si>
    <t>Thread</t>
  </si>
  <si>
    <t>A conversation in the list</t>
  </si>
  <si>
    <t>HC-031</t>
  </si>
  <si>
    <t>TM-023</t>
  </si>
  <si>
    <t>Verify opening a conversation loads its message history</t>
  </si>
  <si>
    <t>Delete Ticket</t>
  </si>
  <si>
    <t>1. Click a conversation</t>
  </si>
  <si>
    <t>The thread opens with messages in chronological order, own and others' messages visually distinct, each with sender and timestamp.</t>
  </si>
  <si>
    <t>Verify Delete asks for confirmation and removes the ticket</t>
  </si>
  <si>
    <t>Create wizard completed</t>
  </si>
  <si>
    <t>1. Click delete and cancel
2. Repeat and confirm</t>
  </si>
  <si>
    <t>Verify 'Save as Draft'</t>
  </si>
  <si>
    <t>Cancelling leaves the ticket untouched; confirming removes it, shows a success message and decrements the ticket count.</t>
  </si>
  <si>
    <t>1. Complete the form and click 'Save as Draft'</t>
  </si>
  <si>
    <t>The template is created with status Draft, appears under the Draft tab and is not offered on the Create Work Order form.</t>
  </si>
  <si>
    <t>HC-032</t>
  </si>
  <si>
    <t>QR Code</t>
  </si>
  <si>
    <t>CC-009</t>
  </si>
  <si>
    <t>A ticket exists</t>
  </si>
  <si>
    <t>Verify the QR Code action</t>
  </si>
  <si>
    <t>1. Click the QR code icon and scan the resulting code</t>
  </si>
  <si>
    <t>TM-024</t>
  </si>
  <si>
    <t>A QR code is displayed or downloadable and decodes to the correct harvest ticket identifier.</t>
  </si>
  <si>
    <t>A long conversation open</t>
  </si>
  <si>
    <t>Verify older messages load on scroll-up</t>
  </si>
  <si>
    <t>1. Scroll up in the thread</t>
  </si>
  <si>
    <t>Verify 'Save &amp; Publish'</t>
  </si>
  <si>
    <t>HC-033</t>
  </si>
  <si>
    <t>Earlier messages load progressively, the scroll position remains stable and no message is duplicated.</t>
  </si>
  <si>
    <t>1. Complete the form and click 'Save &amp; Publish'</t>
  </si>
  <si>
    <t>Attachments</t>
  </si>
  <si>
    <t>The template is created with status Published, appears under the Published tab and becomes selectable on the Create Work Order form.</t>
  </si>
  <si>
    <t>A ticket with and without attachments</t>
  </si>
  <si>
    <t>Verify View Attachments</t>
  </si>
  <si>
    <t>1. Click the attachments icon on each</t>
  </si>
  <si>
    <t>All attachments are listed with preview and download; a ticket with none shows a clear empty state.</t>
  </si>
  <si>
    <t>TM-025</t>
  </si>
  <si>
    <t>CC-010</t>
  </si>
  <si>
    <t>HC-034</t>
  </si>
  <si>
    <t>Link Project</t>
  </si>
  <si>
    <t>A draft template exists</t>
  </si>
  <si>
    <t>A conversation open</t>
  </si>
  <si>
    <t>Tickets exist without a linked project</t>
  </si>
  <si>
    <t>Verify Publish from the detail screen</t>
  </si>
  <si>
    <t>Verify Link Project associates tickets with a project</t>
  </si>
  <si>
    <t>Verify sending a text message</t>
  </si>
  <si>
    <t>1. Select one or more tickets
2. Click 'Link Project' and choose a project</t>
  </si>
  <si>
    <t>1. Open a draft template detail and click Publish</t>
  </si>
  <si>
    <t>1. Type a message and click 'Send'</t>
  </si>
  <si>
    <t>The selected tickets show the chosen project in the Linked Project column and the Information panel updates.</t>
  </si>
  <si>
    <t>The status changes to Published with a confirmation and the template becomes available for work orders.</t>
  </si>
  <si>
    <t>The message is appended immediately with a sent indicator, persists after refresh and is received by the other participant.</t>
  </si>
  <si>
    <t>HC-035</t>
  </si>
  <si>
    <t>TM-026</t>
  </si>
  <si>
    <t>No ticket selected</t>
  </si>
  <si>
    <t>Verify Link Project without a selection</t>
  </si>
  <si>
    <t>Verify the Close button discards the wizard</t>
  </si>
  <si>
    <t>CC-011</t>
  </si>
  <si>
    <t>1. Click 'Link Project' with no rows ticked</t>
  </si>
  <si>
    <t>1. Enter data and click Close</t>
  </si>
  <si>
    <t>A validation message asks the user to select at least one ticket and no change is made.</t>
  </si>
  <si>
    <t>The wizard closes without creating a template, after warning about unsaved changes.</t>
  </si>
  <si>
    <t>Two sessions on the same conversation</t>
  </si>
  <si>
    <t>Verify real-time delivery without a manual refresh</t>
  </si>
  <si>
    <t>TM-027</t>
  </si>
  <si>
    <t>1. Open the same conversation as two users
2. Send a message from one</t>
  </si>
  <si>
    <t>HC-036</t>
  </si>
  <si>
    <t>The message appears in the other session within the expected latency without a manual refresh.</t>
  </si>
  <si>
    <t>Inspection - Edit</t>
  </si>
  <si>
    <t>Post Ticket</t>
  </si>
  <si>
    <t>Unposted tickets exist and D365 is reachable</t>
  </si>
  <si>
    <t>A template exists</t>
  </si>
  <si>
    <t>Verify Post Ticket posts selected tickets to D365</t>
  </si>
  <si>
    <t>Verify Edit from the detail screen</t>
  </si>
  <si>
    <t>1. Select one or more unposted tickets and click 'Post Ticket'
2. Verify the resulting record in D365</t>
  </si>
  <si>
    <t>1. Open a template detail, click Edit, change the name and an attribute, and save</t>
  </si>
  <si>
    <t>A confirmation is shown, the tickets post, status and actual weight flow back, and the corresponding record exists in D365.</t>
  </si>
  <si>
    <t>The changes are persisted and shown on reopening the detail.</t>
  </si>
  <si>
    <t>CC-012</t>
  </si>
  <si>
    <t>HC-037</t>
  </si>
  <si>
    <t>TM-028</t>
  </si>
  <si>
    <t>Two users online</t>
  </si>
  <si>
    <t>Verify delivered and read receipts</t>
  </si>
  <si>
    <t>1. Send a message
2. Have the recipient open the conversation</t>
  </si>
  <si>
    <t>A published template attached to an open inspection work order</t>
  </si>
  <si>
    <t>Verify editing rules for an in-use template</t>
  </si>
  <si>
    <t>The delivered indicator appears on send and changes to read once the recipient opens the thread.</t>
  </si>
  <si>
    <t>1. Attempt to modify or disable a template already attached to an open inspection work order</t>
  </si>
  <si>
    <t>The documented rule is enforced consistently (blocked, or versioned) and existing captured data is never orphaned or altered.</t>
  </si>
  <si>
    <t>CC-013</t>
  </si>
  <si>
    <t>TM-029</t>
  </si>
  <si>
    <t>Material - List</t>
  </si>
  <si>
    <t>Material Templates list open</t>
  </si>
  <si>
    <t>Verify the column set and data</t>
  </si>
  <si>
    <t>Columns are Name, Task/Operation and Actions, and each template shows the operation it belongs to.</t>
  </si>
  <si>
    <t>Verify the typing indicator</t>
  </si>
  <si>
    <t>1. Start typing as one user and observe the other user's view</t>
  </si>
  <si>
    <t>TM-030</t>
  </si>
  <si>
    <t>A 'typing...' indicator appears while typing and clears shortly after typing stops.</t>
  </si>
  <si>
    <t>Verify Filter on Material Template Name and Operation</t>
  </si>
  <si>
    <t>1. Filter by Name, then by Operation
2. Use Reset and Close on the filter panel</t>
  </si>
  <si>
    <t>Each filter narrows the list correctly; Reset clears the criteria and Close dismisses the panel without applying.</t>
  </si>
  <si>
    <t>Verify Post Ticket without a selection</t>
  </si>
  <si>
    <t>1. Click 'Post Ticket' with no rows ticked</t>
  </si>
  <si>
    <t>A validation message asks the user to select at least one ticket and nothing is posted.</t>
  </si>
  <si>
    <t>TM-031</t>
  </si>
  <si>
    <t>Verify the Refresh button on the material template list</t>
  </si>
  <si>
    <t>CC-014</t>
  </si>
  <si>
    <t>1. Click Refresh</t>
  </si>
  <si>
    <t>HC-038</t>
  </si>
  <si>
    <t>The list reloads and reflects templates created in another session.</t>
  </si>
  <si>
    <t>A ticket missing mandatory downstream data</t>
  </si>
  <si>
    <t>Two users, one online</t>
  </si>
  <si>
    <t>Verify posting is blocked for an incomplete ticket</t>
  </si>
  <si>
    <t>Verify online/active status indication</t>
  </si>
  <si>
    <t>1. Attempt to post a ticket with no linked project or missing weight</t>
  </si>
  <si>
    <t>TM-032</t>
  </si>
  <si>
    <t>Posting is rejected with a message identifying the missing data and the ticket remains unposted.</t>
  </si>
  <si>
    <t>1. Check the user list while the other user is signed in, then after they log out</t>
  </si>
  <si>
    <t>The active indicator is shown while online and clears when the user goes offline.</t>
  </si>
  <si>
    <t>A material template row visible</t>
  </si>
  <si>
    <t>Verify row actions and View Material Template Detail</t>
  </si>
  <si>
    <t>HC-039</t>
  </si>
  <si>
    <t>1. Inspect the Actions cell and click the view action</t>
  </si>
  <si>
    <t>Edit, Clone and View Detail are available and the detail shows Basic Details, Material Details, Problem Details and Application Details.</t>
  </si>
  <si>
    <t>D365 connection unavailable</t>
  </si>
  <si>
    <t>Verify posting failure handling</t>
  </si>
  <si>
    <t>CC-015</t>
  </si>
  <si>
    <t>1. With the D365 connection down, attempt to post a ticket</t>
  </si>
  <si>
    <t>A clear failure message is shown, the ticket stays unposted and is retryable; the user is not sent to a dead-end error page.</t>
  </si>
  <si>
    <t>TM-033</t>
  </si>
  <si>
    <t>Material - Create</t>
  </si>
  <si>
    <t>Verify multi-line messages and line breaks</t>
  </si>
  <si>
    <t>HC-040</t>
  </si>
  <si>
    <t>1. Send a message containing explicit line breaks</t>
  </si>
  <si>
    <t>Verify the Create wizard opens with all steps</t>
  </si>
  <si>
    <t>Line breaks are preserved in the rendered bubble for both sender and recipient.</t>
  </si>
  <si>
    <t>A ticket posted successfully</t>
  </si>
  <si>
    <t>1. Click 'Create New Material Template'</t>
  </si>
  <si>
    <t>Verify a posted ticket cannot be posted twice</t>
  </si>
  <si>
    <t>The wizard opens with the Basic Details, Material Details, Problem Details and Application Details steps.</t>
  </si>
  <si>
    <t>1. Attempt to post the same ticket again</t>
  </si>
  <si>
    <t>The action is blocked or the ticket is no longer selectable for posting; no duplicate D365 record is created.</t>
  </si>
  <si>
    <t>TM-034</t>
  </si>
  <si>
    <t>HC-041</t>
  </si>
  <si>
    <t>CC-016</t>
  </si>
  <si>
    <t>A batch of 20 or more unposted tickets</t>
  </si>
  <si>
    <t>Basic Details step</t>
  </si>
  <si>
    <t>Verify bulk posting of a large ticket selection</t>
  </si>
  <si>
    <t>Verify Basic Details validation</t>
  </si>
  <si>
    <t>1. Select 20+ tickets and post them in one action</t>
  </si>
  <si>
    <t>1. Click Save with Material Title and Operation blank</t>
  </si>
  <si>
    <t>All tickets post, the operation reports per-ticket success or failure, and a partial failure does not leave the batch in an indeterminate state.</t>
  </si>
  <si>
    <t>Verify empty and whitespace-only messages are rejected</t>
  </si>
  <si>
    <t>Save is blocked and inline messages are shown for both required fields.</t>
  </si>
  <si>
    <t>1. Click Send with the input empty, then with only spaces</t>
  </si>
  <si>
    <t>No message is sent and no empty bubble appears in the thread.</t>
  </si>
  <si>
    <t>HC-042</t>
  </si>
  <si>
    <t>Reload</t>
  </si>
  <si>
    <t>TM-035</t>
  </si>
  <si>
    <t>Verify the Reload action refreshes the detail grid</t>
  </si>
  <si>
    <t>1. Create a ticket in another session
2. Click 'Reload'</t>
  </si>
  <si>
    <t>The new ticket appears without a full page refresh.</t>
  </si>
  <si>
    <t>CC-017</t>
  </si>
  <si>
    <t>Verify the Operation dropdown lists configured operations</t>
  </si>
  <si>
    <t>1. Open the Operation dropdown</t>
  </si>
  <si>
    <t>All configured operations are listed with their codes, matching the Planned Task list on the Create Work Order form.</t>
  </si>
  <si>
    <t>HC-043</t>
  </si>
  <si>
    <t>Verify very long message handling</t>
  </si>
  <si>
    <t>Navigation</t>
  </si>
  <si>
    <t>1. Send a message of several thousand characters</t>
  </si>
  <si>
    <t>Verify the Back control returns to the list</t>
  </si>
  <si>
    <t>The message is either accepted and wrapped correctly or rejected with a clear length message; the thread layout does not break.</t>
  </si>
  <si>
    <t>1. Click the back button</t>
  </si>
  <si>
    <t>The Harvest Central list is restored with the previous paging and search state where applicable.</t>
  </si>
  <si>
    <t>TM-036</t>
  </si>
  <si>
    <t>HC-044</t>
  </si>
  <si>
    <t>Season Scope</t>
  </si>
  <si>
    <t>Verify the Additional Comments field</t>
  </si>
  <si>
    <t>1. Enter comments and save, then reopen the template</t>
  </si>
  <si>
    <t>Tickets exist in more than one season</t>
  </si>
  <si>
    <t>The comments persist exactly as entered including line breaks.</t>
  </si>
  <si>
    <t>Verify tickets are scoped to the selected season</t>
  </si>
  <si>
    <t>1. Note ticket counts for the current season
2. Switch season and re-inspect</t>
  </si>
  <si>
    <t>Counts and ticket lists change to the selected crop year with no cross-season leakage.</t>
  </si>
  <si>
    <t>TM-037</t>
  </si>
  <si>
    <t>CC-018</t>
  </si>
  <si>
    <t>HC-045</t>
  </si>
  <si>
    <t>Material Details step</t>
  </si>
  <si>
    <t>Verify product, mix method, rate, rate unit and Per can be set</t>
  </si>
  <si>
    <t>A harvest ticket created on the iOS app</t>
  </si>
  <si>
    <t>1. Add a material specifying every field and save</t>
  </si>
  <si>
    <t>Verify message content is escaped against script injection</t>
  </si>
  <si>
    <t>Verify mobile-created tickets appear on web</t>
  </si>
  <si>
    <t>The row is saved with all values and appears on the template detail and Summary.</t>
  </si>
  <si>
    <t>1. Send a message containing HTML and script markup
2. View it as the recipient on web and on iOS</t>
  </si>
  <si>
    <t>1. Create a harvest ticket on iOS
2. Sync and open Harvest Central on web</t>
  </si>
  <si>
    <t>The text is displayed literally and is never executed or rendered as markup on either platform.</t>
  </si>
  <si>
    <t>The ticket appears under the correct field/variety with all captured values and any photos.</t>
  </si>
  <si>
    <t>TM-038</t>
  </si>
  <si>
    <t>Verify numeric validation on material rate and usage</t>
  </si>
  <si>
    <t>HC-046</t>
  </si>
  <si>
    <t>1. Enter negative and non-numeric values for rate and usage</t>
  </si>
  <si>
    <t>Both are rejected with a clear message and the row cannot be saved with an invalid value.</t>
  </si>
  <si>
    <t>CC-019</t>
  </si>
  <si>
    <t>A ticket edited on web after mobile creation</t>
  </si>
  <si>
    <t>Verify web edits to a mobile-created ticket propagate back</t>
  </si>
  <si>
    <t>1. Edit a mobile-created ticket on web and save
2. Re-sync the iOS app</t>
  </si>
  <si>
    <t>A message sent</t>
  </si>
  <si>
    <t>The updated values are visible on mobile with no conflict or duplicate record.</t>
  </si>
  <si>
    <t>TM-039</t>
  </si>
  <si>
    <t>Verify a message can be deleted</t>
  </si>
  <si>
    <t>1. Select a sent message and delete it</t>
  </si>
  <si>
    <t>Verify Save &amp; Add New and Delete on the material row</t>
  </si>
  <si>
    <t>The message is removed from the thread for the sender per the deletion policy and a confirmation is shown.</t>
  </si>
  <si>
    <t>1. Use 'Save &amp; Add New' to add a second material, then delete the first</t>
  </si>
  <si>
    <t>The wizard retains entered data, adds the new row, and deletion removes only the intended row.</t>
  </si>
  <si>
    <t>HC-047</t>
  </si>
  <si>
    <t>TM-040</t>
  </si>
  <si>
    <t>Verify Harvest Central actions respect role permissions</t>
  </si>
  <si>
    <t>CC-020</t>
  </si>
  <si>
    <t>1. Open Harvest Central as a restricted role
2. Attempt Create, Edit, Delete, Link Project and Post Ticket</t>
  </si>
  <si>
    <t>Unauthorised actions are hidden in the UI and rejected server-side when invoked directly.</t>
  </si>
  <si>
    <t>Problem Details step</t>
  </si>
  <si>
    <t>Verify problem, stage, severity, infestation and description capture</t>
  </si>
  <si>
    <t>A message deleted by the sender</t>
  </si>
  <si>
    <t>1. Add a problem with every field populated and save</t>
  </si>
  <si>
    <t>Verify the deleted message placeholder for other participants</t>
  </si>
  <si>
    <t>The problem is saved against the template with all attributes and is shown on the detail view.</t>
  </si>
  <si>
    <t>1. View the conversation as the recipient after deletion</t>
  </si>
  <si>
    <t>A 'Message deleted' placeholder is shown rather than the original content or a gap in the thread.</t>
  </si>
  <si>
    <t>TM-041</t>
  </si>
  <si>
    <t>Verify the Delete action on a problem row</t>
  </si>
  <si>
    <t>1. Add two problems and delete one</t>
  </si>
  <si>
    <t>Only the intended problem is removed and the other is unaffected.</t>
  </si>
  <si>
    <t>CC-021</t>
  </si>
  <si>
    <t>Media</t>
  </si>
  <si>
    <t>TM-042</t>
  </si>
  <si>
    <t>Verify an image can be attached and sent</t>
  </si>
  <si>
    <t>1. Attach an image and send</t>
  </si>
  <si>
    <t>The image uploads with progress, renders inline in the thread and can be opened full size and downloaded.</t>
  </si>
  <si>
    <t>Application Details step</t>
  </si>
  <si>
    <t>Verify application method, total application rate and tank size</t>
  </si>
  <si>
    <t>1. Populate the application fields and save</t>
  </si>
  <si>
    <t>All values persist and are displayed on the template detail.</t>
  </si>
  <si>
    <t>CC-022</t>
  </si>
  <si>
    <t>TM-043</t>
  </si>
  <si>
    <t>Verify a document can be attached and sent</t>
  </si>
  <si>
    <t>1. Attach a PDF or DOC and send</t>
  </si>
  <si>
    <t>Verify nozzle type, droplet size, PHI days and band percentage</t>
  </si>
  <si>
    <t>The document uploads, is listed with name and size, and downloads without corruption.</t>
  </si>
  <si>
    <t>1. Populate each field with valid and then invalid values</t>
  </si>
  <si>
    <t>Valid values save; invalid values (e.g. negative PHI, band percentage above 100) are rejected with a clear message.</t>
  </si>
  <si>
    <t>TM-044</t>
  </si>
  <si>
    <t>CC-023</t>
  </si>
  <si>
    <t>All steps completed</t>
  </si>
  <si>
    <t>Verify Save creates the material template</t>
  </si>
  <si>
    <t>1. Click 'Save'</t>
  </si>
  <si>
    <t>Verify a short video can be sent</t>
  </si>
  <si>
    <t>A success message is shown, the template appears in the list with the correct Name and Operation, and the landing card count increments.</t>
  </si>
  <si>
    <t>1. Attach a video and send</t>
  </si>
  <si>
    <t>The video uploads, appears in the thread and plays back successfully on both web and iOS.</t>
  </si>
  <si>
    <t>AgriERP / AgriFarm  -  Vann Brothers Regression Suite  |  Settings</t>
  </si>
  <si>
    <t>TM-045</t>
  </si>
  <si>
    <t>Material - Integration</t>
  </si>
  <si>
    <t>A material template exists</t>
  </si>
  <si>
    <t>CC-024</t>
  </si>
  <si>
    <t>Verify a material template pre-fills a work order</t>
  </si>
  <si>
    <t>1. On Create Work Order select this template in Material Template</t>
  </si>
  <si>
    <t>The Select Materials grid is populated with the template's materials, rates, usage and units exactly as defined.</t>
  </si>
  <si>
    <t>Verify an audio note can be sent</t>
  </si>
  <si>
    <t>1. Record or attach an audio note and send</t>
  </si>
  <si>
    <t>The audio uploads and plays back in the thread on both platforms.</t>
  </si>
  <si>
    <t>TM-046</t>
  </si>
  <si>
    <t>CC-025</t>
  </si>
  <si>
    <t>A work order created from a material template</t>
  </si>
  <si>
    <t>Verify the template data appears identically in the exported PDF</t>
  </si>
  <si>
    <t>1. Export the work order and compare the material section against the template</t>
  </si>
  <si>
    <t>Every material, rate and unit in the PDF matches the template definition.</t>
  </si>
  <si>
    <t>A file above the configured size limit</t>
  </si>
  <si>
    <t>Verify large file validation</t>
  </si>
  <si>
    <t>1. Attempt to upload a file above the limit (e.g. over 30MB)</t>
  </si>
  <si>
    <t>A clear validation message naming the size limit is shown and no partial upload is stored.</t>
  </si>
  <si>
    <t>TM-047</t>
  </si>
  <si>
    <t>Material - Edit</t>
  </si>
  <si>
    <t>A material template exists and older work orders reference it</t>
  </si>
  <si>
    <t>Verify Edit updates the template without altering historic work orders</t>
  </si>
  <si>
    <t>1. Change a material rate on the template and save
2. Reopen an older work order created from it</t>
  </si>
  <si>
    <t>The template change persists; work orders created earlier retain their original values.</t>
  </si>
  <si>
    <t>CC-026</t>
  </si>
  <si>
    <t>TM-048</t>
  </si>
  <si>
    <t>Material - Clone</t>
  </si>
  <si>
    <t>An unsupported file type</t>
  </si>
  <si>
    <t>Verify Clone Material Template</t>
  </si>
  <si>
    <t>1. Click Clone, adjust the name and save</t>
  </si>
  <si>
    <t>Verify unsupported attachment handling</t>
  </si>
  <si>
    <t>A new template is created with the copied content and the source is unchanged.</t>
  </si>
  <si>
    <t>1. Attempt to send an unsupported file type</t>
  </si>
  <si>
    <t>The upload is rejected with a message naming the allowed types.</t>
  </si>
  <si>
    <t>TM-049</t>
  </si>
  <si>
    <t>ST-001</t>
  </si>
  <si>
    <t>Attribute - List</t>
  </si>
  <si>
    <t>Attribute Template page open</t>
  </si>
  <si>
    <t>Verify the attribute grid renders</t>
  </si>
  <si>
    <t>1. Open Template Management &gt; Attribute Template</t>
  </si>
  <si>
    <t>CC-027</t>
  </si>
  <si>
    <t>All configured attributes are shown with their Enable/Disable state and control type.</t>
  </si>
  <si>
    <t>User Settings - Load</t>
  </si>
  <si>
    <t>Files sent in several conversations</t>
  </si>
  <si>
    <t>TM-050</t>
  </si>
  <si>
    <t>Verify attachments can be searched by file name</t>
  </si>
  <si>
    <t>Verify the User Settings page loads</t>
  </si>
  <si>
    <t>1. Open the Files view and search by file name</t>
  </si>
  <si>
    <t>1. Open the user menu and click 'User Settings'</t>
  </si>
  <si>
    <t>The correct file appears in the results with a route back to its conversation.</t>
  </si>
  <si>
    <t>The route resolves to the user settings page and the General &gt; Home Settings section renders with the saved values.</t>
  </si>
  <si>
    <t>Attribute page open</t>
  </si>
  <si>
    <t>Verify the Search Attributes box</t>
  </si>
  <si>
    <t>1. Type part of an attribute name</t>
  </si>
  <si>
    <t>Only matching attributes remain; clearing the search restores the full set.</t>
  </si>
  <si>
    <t>CC-028</t>
  </si>
  <si>
    <t>Search</t>
  </si>
  <si>
    <t>TM-051</t>
  </si>
  <si>
    <t>Multiple messages exist</t>
  </si>
  <si>
    <t>Verify message search by keyword</t>
  </si>
  <si>
    <t>1. Use the search bar and enter a keyword present in several messages</t>
  </si>
  <si>
    <t>Matching messages are listed with context and selecting one jumps to that point in the thread.</t>
  </si>
  <si>
    <t>Verify filters on the attributes screen</t>
  </si>
  <si>
    <t>1. Apply the available filters (type, status) and reset them</t>
  </si>
  <si>
    <t>Filtering narrows the list correctly and Reset restores the unfiltered view.</t>
  </si>
  <si>
    <t>CC-029</t>
  </si>
  <si>
    <t>Flagging</t>
  </si>
  <si>
    <t>TM-052</t>
  </si>
  <si>
    <t>A message exists</t>
  </si>
  <si>
    <t>Verify a message can be flagged for manager attention</t>
  </si>
  <si>
    <t>1. Flag a message</t>
  </si>
  <si>
    <t>Verify Enable and Disable of an attribute</t>
  </si>
  <si>
    <t>The message is marked as flagged and the manager is notified.</t>
  </si>
  <si>
    <t>1. Disable an attribute
2. Open the Create Inspection Template wizard
3. Re-enable it and repeat</t>
  </si>
  <si>
    <t>A disabled attribute is not offered in Available Attributes; re-enabling restores it. Templates already using it are unaffected.</t>
  </si>
  <si>
    <t>CC-030</t>
  </si>
  <si>
    <t>TM-053</t>
  </si>
  <si>
    <t>Attribute - Create</t>
  </si>
  <si>
    <t>ST-002</t>
  </si>
  <si>
    <t>A flagged message</t>
  </si>
  <si>
    <t>Verify the manager receives the flag notification</t>
  </si>
  <si>
    <t>Verify the Add New Attribute wizard opens</t>
  </si>
  <si>
    <t>1. Flag a message, then sign in as the manager</t>
  </si>
  <si>
    <t>The manager sees the flag alert with a link to the flagged message.</t>
  </si>
  <si>
    <t>The wizard opens on 'Select Attribute' listing all control types: Comment Box, Custom Slider, Date Time Picker, Key Value, List Picker, Number Slider and Switch.</t>
  </si>
  <si>
    <t>User Settings</t>
  </si>
  <si>
    <t>User Settings open</t>
  </si>
  <si>
    <t>TM-054</t>
  </si>
  <si>
    <t>CC-031</t>
  </si>
  <si>
    <t>Verify the Default Location dropdown</t>
  </si>
  <si>
    <t>1. Open Default Location</t>
  </si>
  <si>
    <t>The grower/location list the user is entitled to is shown, is searchable, and the current default is preselected.</t>
  </si>
  <si>
    <t>Wizard on Select Attribute</t>
  </si>
  <si>
    <t>Verify a flag can be removed</t>
  </si>
  <si>
    <t>Verify Next requires a control type selection</t>
  </si>
  <si>
    <t>1. Click 'Next' without selecting a type</t>
  </si>
  <si>
    <t>1. Click the flag icon again on a flagged message</t>
  </si>
  <si>
    <t>Progression is blocked with a clear prompt.</t>
  </si>
  <si>
    <t>The flag is removed and the manager view updates accordingly.</t>
  </si>
  <si>
    <t>TM-055</t>
  </si>
  <si>
    <t>CC-032</t>
  </si>
  <si>
    <t>ST-003</t>
  </si>
  <si>
    <t>Wizard on the details step</t>
  </si>
  <si>
    <t>Verify the Back button returns to the type selection without losing data</t>
  </si>
  <si>
    <t>Escalation</t>
  </si>
  <si>
    <t>1. Enter details, click Back, then Next again</t>
  </si>
  <si>
    <t>The previously entered details are retained when returning to the details step.</t>
  </si>
  <si>
    <t>A message left unread beyond the escalation window</t>
  </si>
  <si>
    <t>Verify the unread escalation alert</t>
  </si>
  <si>
    <t>Verify changing Default Location takes effect after re-login</t>
  </si>
  <si>
    <t>1. Send a message and leave it unread beyond the configured window (e.g. 6 hours)</t>
  </si>
  <si>
    <t>1. Set a new Default Location and save
2. Log out and log back in</t>
  </si>
  <si>
    <t>The system generates an escalation alert to the configured recipient at the correct time.</t>
  </si>
  <si>
    <t>TM-056</t>
  </si>
  <si>
    <t>The application opens with the newly selected default location applied across every module.</t>
  </si>
  <si>
    <t>Control type = List Picker</t>
  </si>
  <si>
    <t>Verify list options can be configured</t>
  </si>
  <si>
    <t>1. Select List Picker, enter a label and several options, and save</t>
  </si>
  <si>
    <t>CC-033</t>
  </si>
  <si>
    <t>The attribute is created with all options in the entered order and they appear on the mobile inspection form.</t>
  </si>
  <si>
    <t>New Conversation</t>
  </si>
  <si>
    <t>ST-004</t>
  </si>
  <si>
    <t>Verify 'New Conversation' opens the participant picker</t>
  </si>
  <si>
    <t>1. Click 'New Conversation'</t>
  </si>
  <si>
    <t>A searchable list of eligible users and resources is shown.</t>
  </si>
  <si>
    <t>Default Location changed on web</t>
  </si>
  <si>
    <t>TM-057</t>
  </si>
  <si>
    <t>Verify the default location is honoured on the iOS app</t>
  </si>
  <si>
    <t>1. Change the default location on web
2. Re-login to the iOS app</t>
  </si>
  <si>
    <t>The mobile app opens on the same default location, confirming the setting is shared and not platform-local.</t>
  </si>
  <si>
    <t>A List Picker attribute in the wizard</t>
  </si>
  <si>
    <t>CC-034</t>
  </si>
  <si>
    <t>Verify the 'Add option' and 'Delete option' controls</t>
  </si>
  <si>
    <t>1. Add three options, then delete one</t>
  </si>
  <si>
    <t>Options are added and removed correctly and the remaining options keep their order.</t>
  </si>
  <si>
    <t>Participant picker open</t>
  </si>
  <si>
    <t>ST-005</t>
  </si>
  <si>
    <t>Verify a one-to-one conversation can be started</t>
  </si>
  <si>
    <t>1. Select a single user, start the conversation and send a message</t>
  </si>
  <si>
    <t>A new conversation is created and appears in both users' lists with the message delivered.</t>
  </si>
  <si>
    <t>TM-058</t>
  </si>
  <si>
    <t>A List Picker option</t>
  </si>
  <si>
    <t>Verify the '+ reference image' control</t>
  </si>
  <si>
    <t>CC-035</t>
  </si>
  <si>
    <t>1. Attach a reference image to an option and save</t>
  </si>
  <si>
    <t>The image is stored against the option and appears as a thumbnail on the mobile attribute screen.</t>
  </si>
  <si>
    <t>Verify a group conversation can be created with a name</t>
  </si>
  <si>
    <t>1. Select several participants, name the group and create it</t>
  </si>
  <si>
    <t>The group appears with the given name for all selected participants and messages are visible to all.</t>
  </si>
  <si>
    <t>TM-059</t>
  </si>
  <si>
    <t>Verify the Default Season dropdown and effect</t>
  </si>
  <si>
    <t>1. Set Default Season to a different crop year and save
2. Log out and log back in</t>
  </si>
  <si>
    <t>An option with a reference image</t>
  </si>
  <si>
    <t>The header Season defaults to the selected crop year on next sign-in and season-scoped data follows it.</t>
  </si>
  <si>
    <t>Verify deleting a reference image</t>
  </si>
  <si>
    <t>CC-036</t>
  </si>
  <si>
    <t>1. Delete the reference image from an option and save</t>
  </si>
  <si>
    <t>The image is removed from the option on both web and mobile after sync.</t>
  </si>
  <si>
    <t>Verify creating a conversation with no participant is blocked</t>
  </si>
  <si>
    <t>ST-006</t>
  </si>
  <si>
    <t>1. Attempt to create with nobody selected</t>
  </si>
  <si>
    <t>A validation message is shown and no conversation is created.</t>
  </si>
  <si>
    <t>TM-060</t>
  </si>
  <si>
    <t>Verify the Default Language options</t>
  </si>
  <si>
    <t>1. Open Default Language and change the value, then reload</t>
  </si>
  <si>
    <t>The configured options are offered and changing the value updates the UI language after reload.</t>
  </si>
  <si>
    <t>CC-037</t>
  </si>
  <si>
    <t>A published template using a List Picker attribute</t>
  </si>
  <si>
    <t>Verify a deleted option is withdrawn from the mobile app</t>
  </si>
  <si>
    <t>1. Delete an option from the attribute
2. Re-sync the iOS app and open the attribute</t>
  </si>
  <si>
    <t>The deleted option no longer appears in the mobile options list; previously captured values referencing it are preserved.</t>
  </si>
  <si>
    <t>An existing one-to-one conversation with a user</t>
  </si>
  <si>
    <t>Verify a duplicate direct conversation is not created</t>
  </si>
  <si>
    <t>ST-007</t>
  </si>
  <si>
    <t>1. Start a new conversation with a user you already have a chat with</t>
  </si>
  <si>
    <t>The existing conversation is reused rather than a duplicate thread being created.</t>
  </si>
  <si>
    <t>TM-061</t>
  </si>
  <si>
    <t>Control type = Number Slider</t>
  </si>
  <si>
    <t>Verify the time-format / timezone control</t>
  </si>
  <si>
    <t>Verify min/max/step configuration and validation</t>
  </si>
  <si>
    <t>1. Open the timezone/time-format control and inspect the options, then change and save</t>
  </si>
  <si>
    <t>1. Set a minimum greater than the maximum and save
2. Correct the values and save again</t>
  </si>
  <si>
    <t>Options are presented correctly and the selection is applied to timestamps across the application.</t>
  </si>
  <si>
    <t>CC-038</t>
  </si>
  <si>
    <t>The invalid combination is rejected with a clear message; valid values save and are enforced on the mobile slider.</t>
  </si>
  <si>
    <t>Group Management</t>
  </si>
  <si>
    <t>A group exists</t>
  </si>
  <si>
    <t>Verify members can be added and removed</t>
  </si>
  <si>
    <t>1. Open group settings and add a member, then remove another</t>
  </si>
  <si>
    <t>Both changes take effect immediately, a system message records them, and the removed member loses access to new messages.</t>
  </si>
  <si>
    <t>TM-062</t>
  </si>
  <si>
    <t>Control type = Custom Slider</t>
  </si>
  <si>
    <t>Verify a custom slider attribute is created and renders on mobile</t>
  </si>
  <si>
    <t>1. Create a custom slider attribute and add it to a published template
2. Open the inspection on iOS</t>
  </si>
  <si>
    <t>CC-039</t>
  </si>
  <si>
    <t>The slider renders with the configured range and the captured value is stored correctly.</t>
  </si>
  <si>
    <t>Verify a group can be renamed</t>
  </si>
  <si>
    <t>1. Open group info and edit the name</t>
  </si>
  <si>
    <t>TM-063</t>
  </si>
  <si>
    <t>The new name is shown for every participant on both platforms.</t>
  </si>
  <si>
    <t>Control type = Key Value</t>
  </si>
  <si>
    <t>Verify key/value pairs can be configured</t>
  </si>
  <si>
    <t>1. Add two key/value pairs and save</t>
  </si>
  <si>
    <t>Both pairs are persisted and displayed on the attribute detail and on the mobile form.</t>
  </si>
  <si>
    <t>CC-040</t>
  </si>
  <si>
    <t>ST-008</t>
  </si>
  <si>
    <t>A group the tester belongs to</t>
  </si>
  <si>
    <t>TM-064</t>
  </si>
  <si>
    <t>Verify leaving a group</t>
  </si>
  <si>
    <t>1. Open group settings and click 'Leave Group'</t>
  </si>
  <si>
    <t>Control type = Switch</t>
  </si>
  <si>
    <t>Verify the Default page size preference</t>
  </si>
  <si>
    <t>Verify a boolean attribute is created</t>
  </si>
  <si>
    <t>The user is removed, no longer receives messages, and the remaining participants see a system message.</t>
  </si>
  <si>
    <t>1. Set Default page size to 50 and save
2. Open Work Orders and Harvest Central</t>
  </si>
  <si>
    <t>1. Create a Switch attribute and add it to a published template</t>
  </si>
  <si>
    <t>Both grids open with 50 rows per page by default.</t>
  </si>
  <si>
    <t>The attribute renders as a toggle on the mobile inspection form and its value round-trips to web.</t>
  </si>
  <si>
    <t>CC-041</t>
  </si>
  <si>
    <t>Work Order Chat</t>
  </si>
  <si>
    <t>TM-065</t>
  </si>
  <si>
    <t>A work order exists for a plot</t>
  </si>
  <si>
    <t>ST-009</t>
  </si>
  <si>
    <t>Verify the auto-created work-order conversation</t>
  </si>
  <si>
    <t>1. From Planning click 'Create/open group chat' for an activity
2. Open the Communication Center</t>
  </si>
  <si>
    <t>Control type = Date Time Picker</t>
  </si>
  <si>
    <t>A conversation titled for the task and project is present with the expected participants.</t>
  </si>
  <si>
    <t>Verify a date-time attribute is created and validated</t>
  </si>
  <si>
    <t>User Settings changed</t>
  </si>
  <si>
    <t>1. Create a Date Time Picker attribute and capture a value on mobile</t>
  </si>
  <si>
    <t>Verify preferences persist across sessions and devices</t>
  </si>
  <si>
    <t>The picker enforces a valid date/time and the stored value matches on web including timezone handling.</t>
  </si>
  <si>
    <t>1. Change several preferences, log out, and log in from a different browser</t>
  </si>
  <si>
    <t>All saved preferences are applied for the same user in the new session.</t>
  </si>
  <si>
    <t>TM-066</t>
  </si>
  <si>
    <t>Control type = Comment Box</t>
  </si>
  <si>
    <t>Verify a free-text attribute is created and length-validated</t>
  </si>
  <si>
    <t>1. Create a Comment Box attribute and enter a very long comment on mobile</t>
  </si>
  <si>
    <t>ST-010</t>
  </si>
  <si>
    <t>The comment is accepted up to the configured limit and rejected beyond it with a clear message.</t>
  </si>
  <si>
    <t>CC-042</t>
  </si>
  <si>
    <t>Verify save and confirmation behaviour</t>
  </si>
  <si>
    <t>A work-order conversation open</t>
  </si>
  <si>
    <t>1. Change a preference and observe, then navigate away and back</t>
  </si>
  <si>
    <t>Verify messages are visible to assigned mobile users</t>
  </si>
  <si>
    <t>TM-067</t>
  </si>
  <si>
    <t>The change is saved with a clear confirmation and is still present on returning to the page.</t>
  </si>
  <si>
    <t>1. Send a message in the work-order chat
2. Open the same chat on the iOS app as an assigned resource</t>
  </si>
  <si>
    <t>The message is delivered and readable on the mobile app with the correct sender and timestamp.</t>
  </si>
  <si>
    <t>Wizard on Attribute Details</t>
  </si>
  <si>
    <t>Verify 'Save &amp; Add New' keeps the wizard open</t>
  </si>
  <si>
    <t>1. Complete an attribute and click 'Save &amp; Add New'</t>
  </si>
  <si>
    <t>ST-011</t>
  </si>
  <si>
    <t>The attribute is saved and the wizard resets to the type selection step ready for the next attribute.</t>
  </si>
  <si>
    <t>CC-043</t>
  </si>
  <si>
    <t>Sites</t>
  </si>
  <si>
    <t>Settings menu accessible</t>
  </si>
  <si>
    <t>Verify the Sites page loads</t>
  </si>
  <si>
    <t>Two users in different groups</t>
  </si>
  <si>
    <t>1. Navigate to Settings &gt; Sites</t>
  </si>
  <si>
    <t>TM-068</t>
  </si>
  <si>
    <t>Verify a user cannot access a conversation they are not part of</t>
  </si>
  <si>
    <t>The page loads without error and displays the configured sites with their details.</t>
  </si>
  <si>
    <t>1. Note a conversation ID the tester is not a participant of
2. Attempt to open it directly by URL or API</t>
  </si>
  <si>
    <t>Access is denied server-side with a clear error and no message content is returned.</t>
  </si>
  <si>
    <t>Any attribute type</t>
  </si>
  <si>
    <t>Verify attribute name validation</t>
  </si>
  <si>
    <t>1. Save with a blank name, then with a duplicate name</t>
  </si>
  <si>
    <t>Blank is rejected; duplicate handling follows the documented rule and is deterministic.</t>
  </si>
  <si>
    <t>ST-012</t>
  </si>
  <si>
    <t>CC-044</t>
  </si>
  <si>
    <t>Sites page open</t>
  </si>
  <si>
    <t>A privately shared file</t>
  </si>
  <si>
    <t>Verify search on the Sites screen</t>
  </si>
  <si>
    <t>Verify unauthorised users cannot download attachments</t>
  </si>
  <si>
    <t>TM-069</t>
  </si>
  <si>
    <t>1. Enter a site name in the search box and apply</t>
  </si>
  <si>
    <t>1. Copy an attachment link and attempt to open it as a non-participant</t>
  </si>
  <si>
    <t>Only sites matching the search term are displayed; clearing the search restores the list.</t>
  </si>
  <si>
    <t>Access is blocked; the file is not retrievable by URL alone.</t>
  </si>
  <si>
    <t>Attribute - Images</t>
  </si>
  <si>
    <t>Attribute create/edit screen</t>
  </si>
  <si>
    <t>Verify a single image can be attached to List Picker, Key Value and Custom Slider attributes</t>
  </si>
  <si>
    <t>1. Attach one image to each of the three attribute types and save</t>
  </si>
  <si>
    <t>Each attribute stores its image and displays it on the detail screen.</t>
  </si>
  <si>
    <t>CC-045</t>
  </si>
  <si>
    <t>ST-013</t>
  </si>
  <si>
    <t>A Farmhand role account</t>
  </si>
  <si>
    <t>Verify role-based restriction on starting group chats</t>
  </si>
  <si>
    <t>TM-070</t>
  </si>
  <si>
    <t>1. Sign in as a Farmhand and attempt to create a new group</t>
  </si>
  <si>
    <t>Verify sorting on the Sites screen</t>
  </si>
  <si>
    <t>The option is disabled or restricted per the role definition and the server rejects a direct attempt.</t>
  </si>
  <si>
    <t>1. Sort each sortable column ascending and descending</t>
  </si>
  <si>
    <t>Every column sorts correctly. Sorting has previously failed on several settings grids - verify each column explicitly.</t>
  </si>
  <si>
    <t>Verify multiple images can be attached to a single attribute</t>
  </si>
  <si>
    <t>1. Attach several images to one attribute and save</t>
  </si>
  <si>
    <t>All images are stored, listed and viewable; the thumbnail display follows the design rule for overflow counts.</t>
  </si>
  <si>
    <t>CC-046</t>
  </si>
  <si>
    <t>ST-014</t>
  </si>
  <si>
    <t>A Manager role account</t>
  </si>
  <si>
    <t>Verify managers can chat with all users</t>
  </si>
  <si>
    <t>TM-071</t>
  </si>
  <si>
    <t>1. Sign in as a Manager, open a new conversation and search for any user</t>
  </si>
  <si>
    <t>All users within the manager's scope are visible and reachable.</t>
  </si>
  <si>
    <t>Verify pagination and page size on the Sites screen</t>
  </si>
  <si>
    <t>An attribute with images used in a template</t>
  </si>
  <si>
    <t>Verify attribute images appear on the inspection template detail</t>
  </si>
  <si>
    <t>Pagination controls work, the correct number of records is shown per page and the total count updates accordingly.</t>
  </si>
  <si>
    <t>1. Open the inspection template detail containing the attribute</t>
  </si>
  <si>
    <t>The attribute images are visible from the template detail view.</t>
  </si>
  <si>
    <t>CC-047</t>
  </si>
  <si>
    <t>Notifications</t>
  </si>
  <si>
    <t>Push notifications enabled on the device</t>
  </si>
  <si>
    <t>ST-015</t>
  </si>
  <si>
    <t>Verify a push notification is raised for a new message</t>
  </si>
  <si>
    <t>TM-072</t>
  </si>
  <si>
    <t>1. Send a message to a user whose iOS app is backgrounded</t>
  </si>
  <si>
    <t>Seasons</t>
  </si>
  <si>
    <t>Verify the Seasons page loads</t>
  </si>
  <si>
    <t>An attribute with images in a published template</t>
  </si>
  <si>
    <t>1. Navigate to Settings &gt; Seasons</t>
  </si>
  <si>
    <t>Verify a mobile user can view reference images while answering</t>
  </si>
  <si>
    <t>The page loads and displays the configured seasons with their code and date range.</t>
  </si>
  <si>
    <t>1. Open the inspection on iOS and view the attribute</t>
  </si>
  <si>
    <t>The reference images are visible and can be opened full-screen while entering the answer.</t>
  </si>
  <si>
    <t>A push notification is delivered promptly and tapping it opens the correct conversation.</t>
  </si>
  <si>
    <t>ST-016</t>
  </si>
  <si>
    <t>TM-073</t>
  </si>
  <si>
    <t>Seasons page open</t>
  </si>
  <si>
    <t>Verify Add New Season</t>
  </si>
  <si>
    <t>CC-048</t>
  </si>
  <si>
    <t>A completed inspection with attribute images</t>
  </si>
  <si>
    <t>1. Click Add New, enter Name, Code, From and Till, then Save</t>
  </si>
  <si>
    <t>Verify attribute images appear on the work order detail and PDF export</t>
  </si>
  <si>
    <t>The new season is added to the list with the entered values and becomes selectable in the header Season selector.</t>
  </si>
  <si>
    <t>1. Open the work order detail, then export the PDF</t>
  </si>
  <si>
    <t>Images appear at key-value level on the detail screen and in the exported PDF with correct captions.</t>
  </si>
  <si>
    <t>Verify notifications can be muted per conversation</t>
  </si>
  <si>
    <t>1. Mute a conversation, then send a message to it from another account</t>
  </si>
  <si>
    <t>ST-017</t>
  </si>
  <si>
    <t>No notification is delivered for the muted conversation while other conversations still notify.</t>
  </si>
  <si>
    <t>TM-074</t>
  </si>
  <si>
    <t>An attribute with images</t>
  </si>
  <si>
    <t>Add Season form open</t>
  </si>
  <si>
    <t>Verify cloning preserves attribute images</t>
  </si>
  <si>
    <t>1. Clone a template containing an attribute with images</t>
  </si>
  <si>
    <t>Verify validation on the Season form</t>
  </si>
  <si>
    <t>The cloned template retains the attribute images without duplicating or losing files.</t>
  </si>
  <si>
    <t>1. Save with mandatory fields blank
2. Enter a Till date earlier than the From date</t>
  </si>
  <si>
    <t>CC-049</t>
  </si>
  <si>
    <t>Both are rejected with clear inline messages and no season is created.</t>
  </si>
  <si>
    <t>Device offline with the app open</t>
  </si>
  <si>
    <t>TM-075</t>
  </si>
  <si>
    <t>Verify a message sent offline is queued and sent on reconnect</t>
  </si>
  <si>
    <t>Attribute - Integration</t>
  </si>
  <si>
    <t>ST-018</t>
  </si>
  <si>
    <t>1. Disable connectivity and send a message
2. Re-enable connectivity</t>
  </si>
  <si>
    <t>The message is queued with a pending indicator and sent automatically once on reconnect, without duplication.</t>
  </si>
  <si>
    <t>An attribute added to a published template</t>
  </si>
  <si>
    <t>Verify a new attribute reaches the mobile inspection form</t>
  </si>
  <si>
    <t>An existing season</t>
  </si>
  <si>
    <t>1. Add a new attribute to a published inspection template
2. Sync the iOS app and open an inspection using that template</t>
  </si>
  <si>
    <t>Verify Edit Season</t>
  </si>
  <si>
    <t>The new attribute appears in the correct position on the mobile form and its captured value round-trips to web.</t>
  </si>
  <si>
    <t>1. Select a season, click Edit, modify the details and save</t>
  </si>
  <si>
    <t>The changes are reflected immediately in the list and in the header Season selector.</t>
  </si>
  <si>
    <t>CC-050</t>
  </si>
  <si>
    <t>Resilience</t>
  </si>
  <si>
    <t>An active conversation</t>
  </si>
  <si>
    <t>ST-019</t>
  </si>
  <si>
    <t>Verify the chat auto-reconnects after a temporary network loss</t>
  </si>
  <si>
    <t>1. Drop and restore connectivity
2. Send a message immediately after reconnect</t>
  </si>
  <si>
    <t>The chat reconnects automatically and the message sends without a manual refresh or restart.</t>
  </si>
  <si>
    <t>Verify sorting on the Seasons screen</t>
  </si>
  <si>
    <t>1. Sort each sortable column</t>
  </si>
  <si>
    <t>Every column sorts correctly including dates in chronological order.</t>
  </si>
  <si>
    <t>CC-051</t>
  </si>
  <si>
    <t>Audit</t>
  </si>
  <si>
    <t>ST-020</t>
  </si>
  <si>
    <t>Admin access to audit logs</t>
  </si>
  <si>
    <t>Resources</t>
  </si>
  <si>
    <t>Verify sent and received messages are logged</t>
  </si>
  <si>
    <t>1. Send and receive messages, then inspect the audit log</t>
  </si>
  <si>
    <t>Each message is recorded with sender, recipient and timestamp.</t>
  </si>
  <si>
    <t>Verify the Resources page loads</t>
  </si>
  <si>
    <t>1. Navigate to Settings &gt; Resources</t>
  </si>
  <si>
    <t>The page loads without error and displays the resource list synced from D365.</t>
  </si>
  <si>
    <t>CC-052</t>
  </si>
  <si>
    <t>ST-021</t>
  </si>
  <si>
    <t>Verify attachment uploads and downloads are logged</t>
  </si>
  <si>
    <t>Resources page open</t>
  </si>
  <si>
    <t>1. Upload and then download a file, then check the logs</t>
  </si>
  <si>
    <t>Verify search on the Resources screen</t>
  </si>
  <si>
    <t>Both actions are recorded with user, file reference and timestamp.</t>
  </si>
  <si>
    <t>1. Enter a resource name in the search box</t>
  </si>
  <si>
    <t>The list filters to matching resources only and can be cleared.</t>
  </si>
  <si>
    <t>CC-053</t>
  </si>
  <si>
    <t>ST-022</t>
  </si>
  <si>
    <t>A flagged message exists</t>
  </si>
  <si>
    <t>Verify flag events are recorded in the audit report</t>
  </si>
  <si>
    <t>1. Flag a message and open the audit report</t>
  </si>
  <si>
    <t>The flag event appears with the message reference, actor and timestamp.</t>
  </si>
  <si>
    <t>Verify sorting on the Resources screen</t>
  </si>
  <si>
    <t>Every column sorts correctly ascending and descending.</t>
  </si>
  <si>
    <t>CC-054</t>
  </si>
  <si>
    <t>Data Retention</t>
  </si>
  <si>
    <t>ST-023</t>
  </si>
  <si>
    <t>Chat data older than the retention window</t>
  </si>
  <si>
    <t>Verify old chat history is archived or removed per policy</t>
  </si>
  <si>
    <t>1. Open a conversation containing messages older than the retention window</t>
  </si>
  <si>
    <t>Verify the Resource Group Name column is populated</t>
  </si>
  <si>
    <t>Messages beyond the policy window are archived or removed exactly as specified, and the behaviour is consistent across conversations.</t>
  </si>
  <si>
    <t>1. Inspect the Resource Group Name column across rows</t>
  </si>
  <si>
    <t>Group names are shown correctly for every resource and match the D365 resource group assignment.</t>
  </si>
  <si>
    <t>CC-055</t>
  </si>
  <si>
    <t>Context</t>
  </si>
  <si>
    <t>ST-024</t>
  </si>
  <si>
    <t>Messages open</t>
  </si>
  <si>
    <t>Verify site/season switching does not corrupt the messaging view</t>
  </si>
  <si>
    <t>1. Switch Site and Season while a conversation is open</t>
  </si>
  <si>
    <t>The conversation list behaves per design and no thread is lost, duplicated or shown to an ineligible user.</t>
  </si>
  <si>
    <t>Verify the row Action button functionality</t>
  </si>
  <si>
    <t>1. Use each available action on a resource row</t>
  </si>
  <si>
    <t>Each action performs as labelled with appropriate confirmation, and destructive actions require confirmation.</t>
  </si>
  <si>
    <t>ST-025</t>
  </si>
  <si>
    <t>Materials</t>
  </si>
  <si>
    <t>Verify the Materials page loads</t>
  </si>
  <si>
    <t>1. Navigate to Settings &gt; Materials</t>
  </si>
  <si>
    <t>The page loads and displays the material list with codes and units.</t>
  </si>
  <si>
    <t>ST-026</t>
  </si>
  <si>
    <t>Materials page open</t>
  </si>
  <si>
    <t>Verify filter and search on the Materials page</t>
  </si>
  <si>
    <t>1. Apply the available filters, then search by material name</t>
  </si>
  <si>
    <t>Both narrow the list correctly and can be reset independently.</t>
  </si>
  <si>
    <t>ST-027</t>
  </si>
  <si>
    <t>Verify sorting on the Materials screen</t>
  </si>
  <si>
    <t>Every column sorts correctly. This grid has a history of sort defects - verify each column.</t>
  </si>
  <si>
    <t>ST-028</t>
  </si>
  <si>
    <t>Crops</t>
  </si>
  <si>
    <t>Verify the Crops configuration page</t>
  </si>
  <si>
    <t>1. Navigate to Settings &gt; Crops and inspect the list</t>
  </si>
  <si>
    <t>Configured crops are listed with their attributes and match the crops available in Map layers and Planning.</t>
  </si>
  <si>
    <t>ST-029</t>
  </si>
  <si>
    <t>Crop Stages</t>
  </si>
  <si>
    <t>Verify the Crop Stages page loads</t>
  </si>
  <si>
    <t>1. Navigate to Settings &gt; Crop Stages</t>
  </si>
  <si>
    <t>The page loads and displays the configured crop stages.</t>
  </si>
  <si>
    <t>ST-030</t>
  </si>
  <si>
    <t>Crop Stages page open</t>
  </si>
  <si>
    <t>Verify Add New Crop Stage</t>
  </si>
  <si>
    <t>1. Click Create Crop Stage, enter the required data and save</t>
  </si>
  <si>
    <t>The new crop stage is added and appears in the list and in the Planning stage wizard.</t>
  </si>
  <si>
    <t>ST-031</t>
  </si>
  <si>
    <t>An existing crop stage</t>
  </si>
  <si>
    <t>Verify task addition to a crop stage</t>
  </si>
  <si>
    <t>1. Select a crop stage, click Add Task, enter the task details and save</t>
  </si>
  <si>
    <t>The task is added to the stage and is visible on the stage detail screen. Known defect area: added tasks have previously not appeared on the detail.</t>
  </si>
  <si>
    <t>ST-032</t>
  </si>
  <si>
    <t>A crop stage with tasks</t>
  </si>
  <si>
    <t>Verify stage and task changes reflect in Planning and Map layers</t>
  </si>
  <si>
    <t>1. Add or rename a stage, then check the Planning stage wizard and the Maps Stages layer</t>
  </si>
  <si>
    <t>Both surfaces reflect the change after refresh with correct naming and ordering.</t>
  </si>
  <si>
    <t>ST-033</t>
  </si>
  <si>
    <t>Operations</t>
  </si>
  <si>
    <t>Verify the Operations configuration page</t>
  </si>
  <si>
    <t>1. Navigate to Settings &gt; Operations and inspect the list</t>
  </si>
  <si>
    <t>All operations synced from D365 are listed with codes and match the Planned Task dropdown on the Create Work Order form.</t>
  </si>
  <si>
    <t>ST-034</t>
  </si>
  <si>
    <t>Verify the Map Toggle Configuration page loads and saves</t>
  </si>
  <si>
    <t>1. Open Map Toggle Configuration, change several values and save
2. Reload the page</t>
  </si>
  <si>
    <t>The page loads all configurable layers, saves the changes with a confirmation and retains them after reload.</t>
  </si>
  <si>
    <t>ST-035</t>
  </si>
  <si>
    <t>Notifications Config</t>
  </si>
  <si>
    <t>AgriERP / AgriFarm  -  Vann Brothers Regression Suite  |  Users, Roles &amp; Permissions</t>
  </si>
  <si>
    <t>Verify notification configuration options</t>
  </si>
  <si>
    <t>1. Open Settings &gt; Notifications and inspect the configurable events</t>
  </si>
  <si>
    <t>Each notifiable event is listed with its channel and recipients, and changes save correctly.</t>
  </si>
  <si>
    <t>ST-036</t>
  </si>
  <si>
    <t>A notification event enabled</t>
  </si>
  <si>
    <t>Verify an enabled notification is delivered on web and iOS</t>
  </si>
  <si>
    <t>1. Enable an event, trigger it, and check the web bell and the iOS push</t>
  </si>
  <si>
    <t>The notification is delivered on both platforms with the correct content and deep link.</t>
  </si>
  <si>
    <t>ST-037</t>
  </si>
  <si>
    <t>Assets</t>
  </si>
  <si>
    <t>Verify the Assets configuration page</t>
  </si>
  <si>
    <t>1. Open Settings &gt; Assets and inspect the list</t>
  </si>
  <si>
    <t>Assets synced from D365 are listed with type, resource group and status, and match the asset picker on the Create Work Order form.</t>
  </si>
  <si>
    <t>ST-038</t>
  </si>
  <si>
    <t>Attendance Config</t>
  </si>
  <si>
    <t>Verify attendance decoupling configuration</t>
  </si>
  <si>
    <t>1. Open the attendance configuration and inspect the bypass options</t>
  </si>
  <si>
    <t>The configurable options are present and saving a change takes effect for the affected user groups.</t>
  </si>
  <si>
    <t>ST-039</t>
  </si>
  <si>
    <t>Hierarchy</t>
  </si>
  <si>
    <t>Multiple growers and locations configured</t>
  </si>
  <si>
    <t>Verify the dynamic level hierarchy configuration</t>
  </si>
  <si>
    <t>1. Inspect the grower/location/farm/field/plot hierarchy configuration</t>
  </si>
  <si>
    <t>The configured levels are represented consistently across Settings, Maps, Planning and Work Orders.</t>
  </si>
  <si>
    <t>UR-001</t>
  </si>
  <si>
    <t>ST-040</t>
  </si>
  <si>
    <t>Users - List</t>
  </si>
  <si>
    <t>Settings &gt; User Management accessible</t>
  </si>
  <si>
    <t>A non-admin account</t>
  </si>
  <si>
    <t>Verify the Users list loads with the expected columns</t>
  </si>
  <si>
    <t>Verify Settings access is restricted to authorised roles</t>
  </si>
  <si>
    <t>1. Open Settings &gt; User Management &gt; Users</t>
  </si>
  <si>
    <t>1. Sign in as a non-admin and attempt to reach each Settings page by menu and by direct URL</t>
  </si>
  <si>
    <t>The list renders with name, email, status, groups and role information and supports paging.</t>
  </si>
  <si>
    <t>Unauthorised pages are neither listed nor reachable by URL, and the server rejects direct requests.</t>
  </si>
  <si>
    <t>UR-002</t>
  </si>
  <si>
    <t>Users list open</t>
  </si>
  <si>
    <t>Verify search and sort on the Users list</t>
  </si>
  <si>
    <t>1. Search by name and by email, then sort each sortable column</t>
  </si>
  <si>
    <t>Search returns only matching users and every column sorts correctly.</t>
  </si>
  <si>
    <t>UR-003</t>
  </si>
  <si>
    <t>Users - Edit</t>
  </si>
  <si>
    <t>An existing user</t>
  </si>
  <si>
    <t>Verify user details load correctly on the Edit User screen</t>
  </si>
  <si>
    <t>1. Open Edit User for an existing user</t>
  </si>
  <si>
    <t>All saved values (Name, Email, Status, Groups, Resource, Approver, toggles) are displayed correctly.</t>
  </si>
  <si>
    <t>UR-004</t>
  </si>
  <si>
    <t>Edit User screen open</t>
  </si>
  <si>
    <t>Verify the Summary panel matches the form values</t>
  </si>
  <si>
    <t>1. Compare the values in the Summary panel with the main form</t>
  </si>
  <si>
    <t>The Summary panel shows the same name, email and status as the form and updates as the form changes.</t>
  </si>
  <si>
    <t>UR-005</t>
  </si>
  <si>
    <t>Verify user data saves successfully</t>
  </si>
  <si>
    <t>1. Modify a valid field, click Save, then reopen the user</t>
  </si>
  <si>
    <t>The updated values are persisted and redisplayed correctly.</t>
  </si>
  <si>
    <t>UR-006</t>
  </si>
  <si>
    <t>Verify error handling when Save fails</t>
  </si>
  <si>
    <t>1. Simulate a network or API failure and click Save</t>
  </si>
  <si>
    <t>A clear error message is shown and the user's changes remain on screen rather than being silently discarded.</t>
  </si>
  <si>
    <t>UR-007</t>
  </si>
  <si>
    <t>Users - Status</t>
  </si>
  <si>
    <t>An active user</t>
  </si>
  <si>
    <t>Verify the Status toggle Active to Inactive</t>
  </si>
  <si>
    <t>1. Turn Status OFF and save</t>
  </si>
  <si>
    <t>The status updates to Inactive and is reflected in the Summary and the user list.</t>
  </si>
  <si>
    <t>UR-008</t>
  </si>
  <si>
    <t>A user deactivated</t>
  </si>
  <si>
    <t>Verify an inactive user cannot log in</t>
  </si>
  <si>
    <t>1. Attempt to sign in as the deactivated user on web and on iOS</t>
  </si>
  <si>
    <t>Login is refused on both platforms with a clear message stating the account is inactive.</t>
  </si>
  <si>
    <t>UR-009</t>
  </si>
  <si>
    <t>A user deactivated while signed in</t>
  </si>
  <si>
    <t>Verify a signed-in user is informed when deactivated</t>
  </si>
  <si>
    <t>1. Deactivate a user who has an active session and have them perform an action</t>
  </si>
  <si>
    <t>The user receives a clear message and the session is terminated rather than silently failing.</t>
  </si>
  <si>
    <t>UR-010</t>
  </si>
  <si>
    <t>Users - Admin Rights</t>
  </si>
  <si>
    <t>A standard user</t>
  </si>
  <si>
    <t>Verify the Rights to Admin toggle ON</t>
  </si>
  <si>
    <t>1. Toggle Rights to Admin ON, save, then sign in as that user</t>
  </si>
  <si>
    <t>The user gains admin features including Sync Console and the admin-only settings pages.</t>
  </si>
  <si>
    <t>UR-011</t>
  </si>
  <si>
    <t>An admin user</t>
  </si>
  <si>
    <t>Verify the Rights to Admin toggle OFF</t>
  </si>
  <si>
    <t>1. Toggle Rights to Admin OFF, save, then sign in as that user</t>
  </si>
  <si>
    <t>Admin access is fully removed, including by direct URL to admin-only routes.</t>
  </si>
  <si>
    <t>UR-012</t>
  </si>
  <si>
    <t>A user whose admin rights change</t>
  </si>
  <si>
    <t>Verify the role change propagates to the mobile app</t>
  </si>
  <si>
    <t>1. Change admin rights on web
2. Re-login on the iOS app and inspect the available actions</t>
  </si>
  <si>
    <t>The mobile permissions match the new role. Known defect area: mobile role changes have previously not applied.</t>
  </si>
  <si>
    <t>UR-013</t>
  </si>
  <si>
    <t>Verify a non-admin cannot update admin rights</t>
  </si>
  <si>
    <t>1. Sign in as a non-admin and attempt to edit the admin toggle, including via a direct API call</t>
  </si>
  <si>
    <t>The action is blocked in the UI and rejected server-side.</t>
  </si>
  <si>
    <t>UR-014</t>
  </si>
  <si>
    <t>Users - Resource</t>
  </si>
  <si>
    <t>Verify resource assignment saves</t>
  </si>
  <si>
    <t>1. Select a resource, save and reopen the screen</t>
  </si>
  <si>
    <t>The resource value is saved and displayed, and the user's mobile work assignment reflects it.</t>
  </si>
  <si>
    <t>UR-015</t>
  </si>
  <si>
    <t>A user with a resource assigned</t>
  </si>
  <si>
    <t>Verify resource removal saves</t>
  </si>
  <si>
    <t>1. Remove the selected resource and save</t>
  </si>
  <si>
    <t>The resource is cleared successfully and the user no longer receives resource-based assignments.</t>
  </si>
  <si>
    <t>UR-016</t>
  </si>
  <si>
    <t>Users - Groups</t>
  </si>
  <si>
    <t>Verify user group addition and removal</t>
  </si>
  <si>
    <t>1. Add a new user group and save
2. Remove an existing group and save</t>
  </si>
  <si>
    <t>Both changes persist and the user's effective permissions change accordingly.</t>
  </si>
  <si>
    <t>UR-017</t>
  </si>
  <si>
    <t>Users - Approver</t>
  </si>
  <si>
    <t>Verify the Attendance Approver assignment saves</t>
  </si>
  <si>
    <t>1. Select an approver, save and reopen the screen</t>
  </si>
  <si>
    <t>The approver is saved and displayed correctly.</t>
  </si>
  <si>
    <t>UR-018</t>
  </si>
  <si>
    <t>Users - Tracking</t>
  </si>
  <si>
    <t>Verify Location Tracking Interval accepts a valid format</t>
  </si>
  <si>
    <t>1. Enter a valid interval (e.g. 0h:30m) and save</t>
  </si>
  <si>
    <t>The value is saved and is applied to the user's mobile location logging frequency.</t>
  </si>
  <si>
    <t>UR-019</t>
  </si>
  <si>
    <t>Verify invalid Location Tracking Interval validation</t>
  </si>
  <si>
    <t>1. Enter an invalid value (e.g. 'abc' or a negative interval) and save</t>
  </si>
  <si>
    <t>A clear validation message is shown and the invalid value is not saved.</t>
  </si>
  <si>
    <t>UR-020</t>
  </si>
  <si>
    <t>Users - Farm Manager</t>
  </si>
  <si>
    <t>Verify the Farm App Manager toggle grants and removes access</t>
  </si>
  <si>
    <t>1. Toggle Farm App Manager ON, save and sign in as the user
2. Toggle it OFF and repeat</t>
  </si>
  <si>
    <t>Farm Manager privileges are granted and then fully removed, on both web and the mobile app.</t>
  </si>
  <si>
    <t>UR-021</t>
  </si>
  <si>
    <t>Roles - List</t>
  </si>
  <si>
    <t>User Roles page open</t>
  </si>
  <si>
    <t>Verify user roles display with all columns</t>
  </si>
  <si>
    <t>1. Open the User Roles Management page</t>
  </si>
  <si>
    <t>Roles are listed with Name, Description, Status and Actions.</t>
  </si>
  <si>
    <t>UR-022</t>
  </si>
  <si>
    <t>Verify role filter, search and sort</t>
  </si>
  <si>
    <t>1. Filter by Active and Inactive, search by name, then sort each column</t>
  </si>
  <si>
    <t>Each control narrows or orders the list correctly and can be cleared.</t>
  </si>
  <si>
    <t>UR-023</t>
  </si>
  <si>
    <t>Roles - Create</t>
  </si>
  <si>
    <t>Verify required fields on the Create User Role form</t>
  </si>
  <si>
    <t>1. Open the Create User Role form and inspect the labels
2. Save with the fields blank</t>
  </si>
  <si>
    <t>Name and Description are marked required and saving with them blank is rejected with inline messages.</t>
  </si>
  <si>
    <t>UR-024</t>
  </si>
  <si>
    <t>Create User Role form open</t>
  </si>
  <si>
    <t>Verify successful creation of a user role</t>
  </si>
  <si>
    <t>1. Fill Name and Description and click Save</t>
  </si>
  <si>
    <t>The new role is created and appears in the role list.</t>
  </si>
  <si>
    <t>UR-025</t>
  </si>
  <si>
    <t>Verify invalid characters in the Name field are rejected</t>
  </si>
  <si>
    <t>1. Enter special symbols in the Name field and save</t>
  </si>
  <si>
    <t>A validation error for invalid characters is shown and no role is created.</t>
  </si>
  <si>
    <t>UR-026</t>
  </si>
  <si>
    <t>Roles - Permissions</t>
  </si>
  <si>
    <t>Create/Edit User Role form open</t>
  </si>
  <si>
    <t>Verify the role permissions section saves</t>
  </si>
  <si>
    <t>1. Select permissions (Map, Planning, Work Order, Harvest Central, Template Management, Messaging) and save</t>
  </si>
  <si>
    <t>The permissions are saved and reflected against the role in the list.</t>
  </si>
  <si>
    <t>UR-027</t>
  </si>
  <si>
    <t>A role with specific permissions</t>
  </si>
  <si>
    <t>Verify permissions are enforced for a user holding the role</t>
  </si>
  <si>
    <t>1. Assign the role to a test user and sign in as them
2. Attempt each permitted and each denied action</t>
  </si>
  <si>
    <t>Permitted actions succeed; denied actions are hidden and rejected server-side when invoked directly.</t>
  </si>
  <si>
    <t>UR-028</t>
  </si>
  <si>
    <t>Role permission list</t>
  </si>
  <si>
    <t>Verify the Delete Work Order permission is exposed in the role screen</t>
  </si>
  <si>
    <t>1. Open a role and look for the Delete Work Order permission</t>
  </si>
  <si>
    <t>The permission is present and can be granted or revoked. Known defect: it was previously missing from the role screen.</t>
  </si>
  <si>
    <t>UR-029</t>
  </si>
  <si>
    <t>Roles - Web Permissions</t>
  </si>
  <si>
    <t>Verify Web App Permission checkboxes persist</t>
  </si>
  <si>
    <t>1. Select and deselect permissions in the Web App Permission section and save</t>
  </si>
  <si>
    <t>The changes persist and are reflected correctly on reopening the role.</t>
  </si>
  <si>
    <t>UR-030</t>
  </si>
  <si>
    <t>Roles - Mobile Permissions</t>
  </si>
  <si>
    <t>A role with mobile permissions configured</t>
  </si>
  <si>
    <t>Verify mobile role permissions are enforced on iOS</t>
  </si>
  <si>
    <t>1. Configure the mobile permission set for a role
2. Sign in on iOS as a user with that role</t>
  </si>
  <si>
    <t>Only permitted mobile actions are available; denied actions are hidden and rejected by the API.</t>
  </si>
  <si>
    <t>UR-031</t>
  </si>
  <si>
    <t>Roles - Badge</t>
  </si>
  <si>
    <t>Verify the Badge Color field</t>
  </si>
  <si>
    <t>1. Select a badge colour and save</t>
  </si>
  <si>
    <t>The selected colour is saved and displayed against the role wherever role badges appear.</t>
  </si>
  <si>
    <t>UR-032</t>
  </si>
  <si>
    <t>Roles - Status</t>
  </si>
  <si>
    <t>An existing role</t>
  </si>
  <si>
    <t>Verify the role status toggle</t>
  </si>
  <si>
    <t>1. Toggle Role Status between Active and Inactive and save</t>
  </si>
  <si>
    <t>The status updates and saves correctly. Known defect area: the Save button has previously remained disabled after a status change.</t>
  </si>
  <si>
    <t>UR-033</t>
  </si>
  <si>
    <t>Groups - List</t>
  </si>
  <si>
    <t>User Groups page open</t>
  </si>
  <si>
    <t>Verify user groups display with all columns</t>
  </si>
  <si>
    <t>1. Open the User Groups Management page</t>
  </si>
  <si>
    <t>Groups are listed with Name, Description, Status and Bypass Attendance.</t>
  </si>
  <si>
    <t>UR-034</t>
  </si>
  <si>
    <t>Verify search, sort and status filter on user groups</t>
  </si>
  <si>
    <t>1. Search, sort each column, then filter by Active and Inactive</t>
  </si>
  <si>
    <t>Each control behaves correctly and can be cleared.</t>
  </si>
  <si>
    <t>UR-035</t>
  </si>
  <si>
    <t>Groups - Create</t>
  </si>
  <si>
    <t>Create User Group form open</t>
  </si>
  <si>
    <t>Verify required fields on the group form</t>
  </si>
  <si>
    <t>1. Inspect the labels, then save with the required fields blank</t>
  </si>
  <si>
    <t>Name, Roles, Locations and Farms are marked required and saving with them blank is rejected.</t>
  </si>
  <si>
    <t>UR-036</t>
  </si>
  <si>
    <t>Verify successful creation of a user group</t>
  </si>
  <si>
    <t>1. Fill all required fields and save</t>
  </si>
  <si>
    <t>The group is created, appears in the list and can be assigned to users.</t>
  </si>
  <si>
    <t>UR-037</t>
  </si>
  <si>
    <t>Verify invalid data is rejected on the group form</t>
  </si>
  <si>
    <t>1. Enter special characters in the Name field and save</t>
  </si>
  <si>
    <t>A validation error is shown and no group is created.</t>
  </si>
  <si>
    <t>UR-038</t>
  </si>
  <si>
    <t>Groups - Bypass</t>
  </si>
  <si>
    <t>A user group</t>
  </si>
  <si>
    <t>Verify the Bypass Attendance toggle</t>
  </si>
  <si>
    <t>1. Toggle Bypass Attendance ON and save, then OFF and save</t>
  </si>
  <si>
    <t>The status updates correctly in both directions and is shown in the group list.</t>
  </si>
  <si>
    <t>UR-039</t>
  </si>
  <si>
    <t>A group with Bypass Attendance enabled</t>
  </si>
  <si>
    <t>Verify a bypass-group member can work without an attendance entry</t>
  </si>
  <si>
    <t>1. Sign in on iOS as a member of the bypass group
2. Start a job without clocking in</t>
  </si>
  <si>
    <t>The action is permitted for bypass-group members and blocked for non-bypass members.</t>
  </si>
  <si>
    <t>UR-040</t>
  </si>
  <si>
    <t>Groups - Assignment</t>
  </si>
  <si>
    <t>A group with roles and locations</t>
  </si>
  <si>
    <t>Verify group roles and locations dropdowns save</t>
  </si>
  <si>
    <t>1. Select roles and locations and save, then reopen the group</t>
  </si>
  <si>
    <t>The selections are saved and displayed correctly and drive the effective permissions of member users.</t>
  </si>
  <si>
    <t>UR-041</t>
  </si>
  <si>
    <t>Enterprise</t>
  </si>
  <si>
    <t>User Enterprise page open</t>
  </si>
  <si>
    <t>Verify user enterprises display and filter correctly</t>
  </si>
  <si>
    <t>1. Open the User Enterprise page and apply the Active/Inactive filter</t>
  </si>
  <si>
    <t>Enterprises are listed with Name, Crops and Status and filter correctly by status.</t>
  </si>
  <si>
    <t>UR-042</t>
  </si>
  <si>
    <t>Create User Enterprise form open</t>
  </si>
  <si>
    <t>Verify creation with required fields and crop selection</t>
  </si>
  <si>
    <t>1. Save with Name blank, then complete Name, select crops and save</t>
  </si>
  <si>
    <t>The blank save is rejected; the completed save creates the enterprise with the selected crops assigned.</t>
  </si>
  <si>
    <t>UR-043</t>
  </si>
  <si>
    <t>Role Matrix</t>
  </si>
  <si>
    <t>Test accounts for each role</t>
  </si>
  <si>
    <t>Verify the Manager role permission matrix end to end</t>
  </si>
  <si>
    <t>1. Sign in as Manager on web and iOS
2. Exercise create WO, review/approve, adjust material/hours/progress, start/end WO, harvest progress</t>
  </si>
  <si>
    <t>Every action permitted to Manager succeeds and every denied action is blocked, matching the agreed permission matrix.</t>
  </si>
  <si>
    <t>UR-044</t>
  </si>
  <si>
    <t>Verify the Supervisor role permission matrix end to end</t>
  </si>
  <si>
    <t>1. Sign in as Supervisor and exercise each matrix action on web and iOS</t>
  </si>
  <si>
    <t>Supervisor can start/end work orders, pick resources and assets, enter progress and end jobs, but cannot create work orders or approve on web.</t>
  </si>
  <si>
    <t>UR-045</t>
  </si>
  <si>
    <t>Verify the Responsible role permission matrix end to end</t>
  </si>
  <si>
    <t>1. Sign in as Responsible and exercise each matrix action</t>
  </si>
  <si>
    <t>Responsible can start/end work orders and jobs and enter progress, but cannot create work orders or perform web adjustments.</t>
  </si>
  <si>
    <t>UR-046</t>
  </si>
  <si>
    <t>Verify the Machine Operator role permission matrix end to end</t>
  </si>
  <si>
    <t>1. Sign in as Machine Operator and exercise each matrix action</t>
  </si>
  <si>
    <t>Machine Operator can pick assets and implements, enter material and work order progress and end jobs, but cannot start or end the work order itself or record harvest progress.</t>
  </si>
  <si>
    <t>UR-047</t>
  </si>
  <si>
    <t>Verify the FarmHand/Crew role permission matrix end to end</t>
  </si>
  <si>
    <t>1. Sign in as FarmHand and exercise each matrix action</t>
  </si>
  <si>
    <t>FarmHand can enter work order progress and end their job only; asset picking, material progress, harvest progress and work order start/end are all denied.</t>
  </si>
  <si>
    <t>UR-048</t>
  </si>
  <si>
    <t>A user mapped to multiple growers</t>
  </si>
  <si>
    <t>Verify grower-based location filtering in the web profile</t>
  </si>
  <si>
    <t>1. Select each grower in turn and inspect the location list</t>
  </si>
  <si>
    <t>AgriERP / AgriFarm  -  Vann Brothers Regression Suite  |  Sync Console &amp; D365</t>
  </si>
  <si>
    <t>Only locations mapped to the selected grower and permitted to the user are offered.</t>
  </si>
  <si>
    <t>UR-049</t>
  </si>
  <si>
    <t>Verify grower-based location filtering in the mobile profile</t>
  </si>
  <si>
    <t>1. Select each grower in turn on iOS and inspect the location list</t>
  </si>
  <si>
    <t>The mobile filtering matches the web behaviour exactly for the same account.</t>
  </si>
  <si>
    <t>UR-050</t>
  </si>
  <si>
    <t>A user whose access to a location is removed</t>
  </si>
  <si>
    <t>Verify a revoked location disappears for that user</t>
  </si>
  <si>
    <t>1. Remove the user's access to a location
2. Have the user re-login on web and iOS and inspect the location list</t>
  </si>
  <si>
    <t>The revoked location is absent on both platforms and any deep link to its data is rejected.</t>
  </si>
  <si>
    <t>UR-051</t>
  </si>
  <si>
    <t>A user with locations under two different growers</t>
  </si>
  <si>
    <t>Verify cross-grower location isolation</t>
  </si>
  <si>
    <t>1. Select one grower and inspect the available locations</t>
  </si>
  <si>
    <t>Only locations belonging to the selected grower appear, even where the user holds rights under another grower.</t>
  </si>
  <si>
    <t>AgriERP / AgriFarm  -  Vann Brothers Regression Suite  |  iOS Offline &amp; Sync</t>
  </si>
  <si>
    <t>SD-001</t>
  </si>
  <si>
    <t>Access</t>
  </si>
  <si>
    <t>Admin user</t>
  </si>
  <si>
    <t>Verify the Sync Console landing and sub-navigation</t>
  </si>
  <si>
    <t>1. Open the user menu and click 'Sync Console'</t>
  </si>
  <si>
    <t>The console loads with sub-navigation for Connections, Service Status, Sync History, API Packet Logs and Messages.</t>
  </si>
  <si>
    <t>SD-002</t>
  </si>
  <si>
    <t>Connections</t>
  </si>
  <si>
    <t>Sync Console open</t>
  </si>
  <si>
    <t>Verify the Connections page content</t>
  </si>
  <si>
    <t>1. Click 'Connections'</t>
  </si>
  <si>
    <t>The grid shows Store Name, software endpoints and Status for each configured connection, with a working refresh action.</t>
  </si>
  <si>
    <t>OF-001</t>
  </si>
  <si>
    <t>SD-003</t>
  </si>
  <si>
    <t>Download</t>
  </si>
  <si>
    <t>Logged-in iOS session with an assigned work order</t>
  </si>
  <si>
    <t>Verify a work order can be downloaded for offline use</t>
  </si>
  <si>
    <t>Connections page open</t>
  </si>
  <si>
    <t>1. Open the work order and use the download action while online</t>
  </si>
  <si>
    <t>Verify connection status accuracy</t>
  </si>
  <si>
    <t>The work order and its plots, materials, resources and template data are stored locally and the download state is indicated.</t>
  </si>
  <si>
    <t>1. Compare the Status column with the actual D365/middleware availability
2. Break a connection deliberately and re-check</t>
  </si>
  <si>
    <t>The status reflects the true connection state and a broken connection is reported as such rather than showing healthy.</t>
  </si>
  <si>
    <t>SD-004</t>
  </si>
  <si>
    <t>Services</t>
  </si>
  <si>
    <t>Verify the Service Status page content</t>
  </si>
  <si>
    <t>1. Click 'Service Status'</t>
  </si>
  <si>
    <t>The grid shows Service ID, Store Name, Service Name, Synchronization Frequency, Fetch Marker, Sync Direction and job status.</t>
  </si>
  <si>
    <t>SD-005</t>
  </si>
  <si>
    <t>OF-002</t>
  </si>
  <si>
    <t>Service Status open</t>
  </si>
  <si>
    <t>Verify the status filter and View Logs action</t>
  </si>
  <si>
    <t>1. Use the status filter, then click 'View Logs' on a service</t>
  </si>
  <si>
    <t>The list filters correctly and View Logs opens that service's log entries scoped to the selected service.</t>
  </si>
  <si>
    <t>Work orders downloaded</t>
  </si>
  <si>
    <t>Verify downloaded work orders are accessible offline</t>
  </si>
  <si>
    <t>1. Disable connectivity and open the downloaded work order</t>
  </si>
  <si>
    <t>The work order opens with all downloaded detail available and a clear offline indicator is shown.</t>
  </si>
  <si>
    <t>SD-006</t>
  </si>
  <si>
    <t>OF-003</t>
  </si>
  <si>
    <t>Offline Indicator</t>
  </si>
  <si>
    <t>Service Status open in a non-production environment</t>
  </si>
  <si>
    <t>Verify a clear offline indicator is shown throughout the app</t>
  </si>
  <si>
    <t>Verify 'Stop All Services' asks for confirmation</t>
  </si>
  <si>
    <t>1. Disable connectivity and navigate the dashboard, map and work order screens</t>
  </si>
  <si>
    <t>1. Click 'Stop All Services' and read the dialog, then cancel</t>
  </si>
  <si>
    <t>A confirmation dialog warns of the impact and cancelling makes no change to any running service.</t>
  </si>
  <si>
    <t>An offline state is clearly indicated on every screen and no screen shows an indefinite spinner.</t>
  </si>
  <si>
    <t>SD-007</t>
  </si>
  <si>
    <t>A stopped service</t>
  </si>
  <si>
    <t>OF-004</t>
  </si>
  <si>
    <t>Verify a stopped service can be restarted and resumes syncing</t>
  </si>
  <si>
    <t>1. Stop a service, create a syncable record, then restart the service</t>
  </si>
  <si>
    <t>The service restarts and the pending record syncs on the next cycle without manual intervention.</t>
  </si>
  <si>
    <t>Permission Matrix</t>
  </si>
  <si>
    <t>Device offline with a downloaded work order</t>
  </si>
  <si>
    <t>Verify Start Work Order is blocked offline</t>
  </si>
  <si>
    <t>1. While offline attempt to start a work order</t>
  </si>
  <si>
    <t>SD-008</t>
  </si>
  <si>
    <t>The action is refused with a clear 'requires connection' message per the online-only permission matrix.</t>
  </si>
  <si>
    <t>History</t>
  </si>
  <si>
    <t>Verify Sync History filters</t>
  </si>
  <si>
    <t>1. Open Sync History and use connection, log level, log type, date range and keyword filters, then Reset</t>
  </si>
  <si>
    <t>Each filter narrows the results correctly, filters combine with AND logic, and Reset clears them all.</t>
  </si>
  <si>
    <t>OF-005</t>
  </si>
  <si>
    <t>SD-009</t>
  </si>
  <si>
    <t>Verify Start Job is blocked offline</t>
  </si>
  <si>
    <t>1. While offline attempt to start a job</t>
  </si>
  <si>
    <t>Sync History open</t>
  </si>
  <si>
    <t>The action is refused with a clear message; no local job record is created.</t>
  </si>
  <si>
    <t>Verify the date column shows the correct timezone offset</t>
  </si>
  <si>
    <t>1. Inspect the date column header and values against the user's configured timezone</t>
  </si>
  <si>
    <t>The offset shown matches the user's timezone setting and the values are consistent with the events they describe.</t>
  </si>
  <si>
    <t>OF-006</t>
  </si>
  <si>
    <t>SD-010</t>
  </si>
  <si>
    <t>API Logs</t>
  </si>
  <si>
    <t>Device offline with an active job</t>
  </si>
  <si>
    <t>Verify Enter Progress is permitted offline</t>
  </si>
  <si>
    <t>Verify the API Packet Logs page and detail view</t>
  </si>
  <si>
    <t>1. With a job already active, go offline and enter progress</t>
  </si>
  <si>
    <t>1. Open API Packet Logs, filter by level and date range, then click 'View details' on an entry</t>
  </si>
  <si>
    <t>The grid filters correctly and the detail shows the request/response payload in a readable form.</t>
  </si>
  <si>
    <t>Progress is captured locally, is visible in the app and is queued for upload.</t>
  </si>
  <si>
    <t>SD-011</t>
  </si>
  <si>
    <t>OF-007</t>
  </si>
  <si>
    <t>Verify End Job is permitted offline</t>
  </si>
  <si>
    <t>1. Go offline and end the active job</t>
  </si>
  <si>
    <t>The job ends locally with the correct timestamp and is queued for upload.</t>
  </si>
  <si>
    <t>Messages</t>
  </si>
  <si>
    <t>OF-008</t>
  </si>
  <si>
    <t>Verify the Messages page and its filters</t>
  </si>
  <si>
    <t>1. Open Messages, search by Message ID and keyword and apply a date range</t>
  </si>
  <si>
    <t>The grid returns matching messages with store, service and status information.</t>
  </si>
  <si>
    <t>Verify Pick Resource, Pick Asset and Switch Asset are blocked offline</t>
  </si>
  <si>
    <t>1. While offline attempt each action</t>
  </si>
  <si>
    <t>Each is refused with a clear message per the online-only matrix.</t>
  </si>
  <si>
    <t>SD-012</t>
  </si>
  <si>
    <t>Message statistics page</t>
  </si>
  <si>
    <t>OF-009</t>
  </si>
  <si>
    <t>Verify the message statistics view loads without error</t>
  </si>
  <si>
    <t>1. Open the message statistics view</t>
  </si>
  <si>
    <t>Statistics render correctly. This view has previously failed with an unhandled error - confirm the fix.</t>
  </si>
  <si>
    <t>Verify Select Batch to pick material is blocked offline</t>
  </si>
  <si>
    <t>1. While offline attempt to select a material batch</t>
  </si>
  <si>
    <t>AgriERP / AgriFarm  -  Vann Brothers Regression Suite  |  Attachments &amp; PDF Export</t>
  </si>
  <si>
    <t>The action is refused with a clear message and no partial selection is stored.</t>
  </si>
  <si>
    <t>SD-013</t>
  </si>
  <si>
    <t>OF-010</t>
  </si>
  <si>
    <t>Verify Partial End and End Work Order are blocked offline</t>
  </si>
  <si>
    <t>1. While offline attempt to partially end and then end the work order</t>
  </si>
  <si>
    <t>Both are refused with a clear message.</t>
  </si>
  <si>
    <t>A project published in D365</t>
  </si>
  <si>
    <t>Verify project sync D365 to Farm App within the expected window</t>
  </si>
  <si>
    <t>1. Publish a project in D365 and record the time
2. Monitor the Planning tab and the sync history</t>
  </si>
  <si>
    <t>The project appears within the documented sync window and the sync history records a successful run.</t>
  </si>
  <si>
    <t>OF-011</t>
  </si>
  <si>
    <t>Verify Edit Progress and Work Order Adjustment are blocked offline</t>
  </si>
  <si>
    <t>SD-014</t>
  </si>
  <si>
    <t>1. While offline attempt to edit previously entered progress and to adjust the work order</t>
  </si>
  <si>
    <t>Both are refused with a clear message and the existing data is unchanged.</t>
  </si>
  <si>
    <t>An operation added to a D365 project</t>
  </si>
  <si>
    <t>Verify an incremental change syncs without a full reload</t>
  </si>
  <si>
    <t>1. Add an operation to an already-synced project in D365
2. Await the next sync cycle</t>
  </si>
  <si>
    <t>OF-012</t>
  </si>
  <si>
    <t>Only the new operation is added; existing tasks, progress and work orders are unaffected.</t>
  </si>
  <si>
    <t>Verify Leave and Assign Responsible is blocked offline</t>
  </si>
  <si>
    <t>1. While offline attempt to leave and assign a responsible</t>
  </si>
  <si>
    <t>The action is refused with a clear message.</t>
  </si>
  <si>
    <t>SD-015</t>
  </si>
  <si>
    <t>A completed work order with hours, materials and assets</t>
  </si>
  <si>
    <t>OF-013</t>
  </si>
  <si>
    <t>Verify posting from Farm App to D365</t>
  </si>
  <si>
    <t>1. Complete a work order and await posting
2. Verify the journal entries in D365</t>
  </si>
  <si>
    <t>Hours, material consumption and asset usage post to the correct project, task and plot with correct quantities.</t>
  </si>
  <si>
    <t>AP-001</t>
  </si>
  <si>
    <t>Device offline, supervisor role</t>
  </si>
  <si>
    <t>Verify supervisor-only actions are blocked offline where specified</t>
  </si>
  <si>
    <t>1. While offline attempt Start Job For Others, End Job For Others and Time In Other User</t>
  </si>
  <si>
    <t>Each online-only supervisory action is refused with a clear message.</t>
  </si>
  <si>
    <t>WO Attachments</t>
  </si>
  <si>
    <t>SD-016</t>
  </si>
  <si>
    <t>A work order open for edit</t>
  </si>
  <si>
    <t>Verify attachment upload on a work order</t>
  </si>
  <si>
    <t>1. Click Add Attachment and upload a JPG or PNG</t>
  </si>
  <si>
    <t>A posting attempt while D365 is unreachable</t>
  </si>
  <si>
    <t>The attachment uploads successfully and appears in the attachments list with name, size and thumbnail.</t>
  </si>
  <si>
    <t>Verify posting failure is reported and retryable</t>
  </si>
  <si>
    <t>OF-014</t>
  </si>
  <si>
    <t>1. Break the D365 connection and trigger a posting
2. Restore the connection and retry</t>
  </si>
  <si>
    <t>The failure is logged and surfaced clearly, the record is not marked as posted, and the retry succeeds without duplicating the entry.</t>
  </si>
  <si>
    <t>Verify View Logs For All Users is available offline</t>
  </si>
  <si>
    <t>SD-017</t>
  </si>
  <si>
    <t>1. While offline open the logs view as a supervisor or responsible</t>
  </si>
  <si>
    <t>Logs for all users on the downloaded work order are viewable offline.</t>
  </si>
  <si>
    <t>Resource and asset master data changed in D365</t>
  </si>
  <si>
    <t>Verify master data changes sync into the Farm App</t>
  </si>
  <si>
    <t>1. Add and modify a resource and an asset in D365
2. Await sync and inspect Settings &gt; Resources and Assets</t>
  </si>
  <si>
    <t>Additions and modifications appear correctly with no duplicates and no loss of existing links.</t>
  </si>
  <si>
    <t>OF-015</t>
  </si>
  <si>
    <t>SD-018</t>
  </si>
  <si>
    <t>Device offline with permission to work multiple work orders</t>
  </si>
  <si>
    <t>Verify working on multiple work orders offline</t>
  </si>
  <si>
    <t>AP-002</t>
  </si>
  <si>
    <t>1. While offline enter progress against two downloaded work orders</t>
  </si>
  <si>
    <t>A harvest ticket posted to D365</t>
  </si>
  <si>
    <t>Both are captured locally and attributed to the correct work order on sync.</t>
  </si>
  <si>
    <t>Verify actual weight flows back from D365 to Harvest Central</t>
  </si>
  <si>
    <t>1. Post a ticket, record the weight in D365 and await the return sync</t>
  </si>
  <si>
    <t>The Actual Weight and posted status update on the Harvest Central ticket within the expected window.</t>
  </si>
  <si>
    <t>OF-016</t>
  </si>
  <si>
    <t>SD-019</t>
  </si>
  <si>
    <t>Verify attachments can be viewed, added and removed offline</t>
  </si>
  <si>
    <t>A work order with attachments</t>
  </si>
  <si>
    <t>1. While offline open the attachments list, add a photo and remove another</t>
  </si>
  <si>
    <t>Verify multiple attachments of different types are supported</t>
  </si>
  <si>
    <t>Inventory dispatched against a work order</t>
  </si>
  <si>
    <t>All three actions succeed locally, the changes are queued and applied correctly on reconnect.</t>
  </si>
  <si>
    <t>1. Add several attachments of different supported types</t>
  </si>
  <si>
    <t>Verify inventory location and lot handling on consumption</t>
  </si>
  <si>
    <t>All are visible and accessible in the attachments list with the correct type indicator for each.</t>
  </si>
  <si>
    <t>1. Consume lot-tracked and non-lot-tracked items against a work order
2. Verify the resulting D365 inventory transactions</t>
  </si>
  <si>
    <t>The correct inventory location and lot are used for each item and the transactions balance. Known defect area - verify carefully.</t>
  </si>
  <si>
    <t>OF-017</t>
  </si>
  <si>
    <t>SD-020</t>
  </si>
  <si>
    <t>AP-003</t>
  </si>
  <si>
    <t>Verify Take Break is available offline</t>
  </si>
  <si>
    <t>1. While offline take and end a break</t>
  </si>
  <si>
    <t>A work order with an expense job line</t>
  </si>
  <si>
    <t>Verify expense job posting</t>
  </si>
  <si>
    <t>The break is recorded locally with correct start and end times and syncs on reconnect.</t>
  </si>
  <si>
    <t>1. Complete a work order carrying an expense line and await posting</t>
  </si>
  <si>
    <t>Verify supported and unsupported file types</t>
  </si>
  <si>
    <t>The expense posts to the correct project and account in D365. Known blocker area - verify against the current build.</t>
  </si>
  <si>
    <t>1. Upload each supported type, then attempt an unsupported type</t>
  </si>
  <si>
    <t>Supported types are accepted; unsupported types are rejected with a message naming the allowed formats.</t>
  </si>
  <si>
    <t>SD-021</t>
  </si>
  <si>
    <t>OF-018</t>
  </si>
  <si>
    <t>AP-004</t>
  </si>
  <si>
    <t>A work order with an item job line</t>
  </si>
  <si>
    <t>Verify item job posting across multiple plots</t>
  </si>
  <si>
    <t>Offline activity captured</t>
  </si>
  <si>
    <t>1. Complete a multi-plot work order with item consumption and verify the D365 postings</t>
  </si>
  <si>
    <t>A work order with an attachment</t>
  </si>
  <si>
    <t>Verify queued offline actions upload automatically on reconnect</t>
  </si>
  <si>
    <t>Each plot receives its own posting with the correct quantity. Known defect: item job posting has previously failed on multiple plots.</t>
  </si>
  <si>
    <t>Verify attachment deletion</t>
  </si>
  <si>
    <t>1. Capture several offline actions
2. Re-enable connectivity and observe</t>
  </si>
  <si>
    <t>1. Delete an attachment and confirm
2. Reload the work order</t>
  </si>
  <si>
    <t>The queue uploads automatically with visible progress and all actions are applied server-side exactly once.</t>
  </si>
  <si>
    <t>The attachment is permanently removed from the work order and no longer appears after reload.</t>
  </si>
  <si>
    <t>SD-022</t>
  </si>
  <si>
    <t>Hour job configuration in place</t>
  </si>
  <si>
    <t>Verify hour job posting calls are triggered</t>
  </si>
  <si>
    <t>AP-005</t>
  </si>
  <si>
    <t>1. Complete a work order with logged human-resource hours and monitor the posting calls</t>
  </si>
  <si>
    <t>The posting calls fire with the correct payload and any configured restriction on human-resource hours is respected.</t>
  </si>
  <si>
    <t>OF-019</t>
  </si>
  <si>
    <t>A work order with image attachments</t>
  </si>
  <si>
    <t>Verify on-screen zoom on an attached image</t>
  </si>
  <si>
    <t>1. Open an attached image and use the zoom control</t>
  </si>
  <si>
    <t>The image opens at full size and zooms smoothly without pixelation beyond the source resolution.</t>
  </si>
  <si>
    <t>Verify no duplicate records are created after repeated reconnects</t>
  </si>
  <si>
    <t>SD-023</t>
  </si>
  <si>
    <t>1. Capture offline actions, then toggle connectivity on and off several times during upload</t>
  </si>
  <si>
    <t>Each action appears exactly once on the server; nothing is duplicated or lost by the interrupted uploads.</t>
  </si>
  <si>
    <t>An authentication gateway configured</t>
  </si>
  <si>
    <t>AP-006</t>
  </si>
  <si>
    <t>Verify authentication gateway behaviour for the configured company</t>
  </si>
  <si>
    <t>1. Sign in through the authentication gateway and exercise a data call in each module</t>
  </si>
  <si>
    <t>Authentication succeeds and every module call is authorised for the configured company scope.</t>
  </si>
  <si>
    <t>Verify direct download without leaving the page</t>
  </si>
  <si>
    <t>OF-020</t>
  </si>
  <si>
    <t>1. Click the download action on an attachment</t>
  </si>
  <si>
    <t>SD-024</t>
  </si>
  <si>
    <t>The file downloads directly without navigating away from the work order screen.</t>
  </si>
  <si>
    <t>Offline progress and a conflicting web adjustment</t>
  </si>
  <si>
    <t>Verify conflict handling between offline and web changes</t>
  </si>
  <si>
    <t>A sync running during a large data change</t>
  </si>
  <si>
    <t>1. Enter progress offline
2. Adjust the same plot's progress on web
3. Reconnect the device</t>
  </si>
  <si>
    <t>Verify sync handles a large batch without failure</t>
  </si>
  <si>
    <t>The documented conflict rule is applied deterministically, the user is informed where relevant, and an audit trail records both entries.</t>
  </si>
  <si>
    <t>1. Publish a large project change in D365 and monitor the sync run</t>
  </si>
  <si>
    <t>The sync completes without timeout, the history records the volume and no partial or duplicated records result.</t>
  </si>
  <si>
    <t>AP-007</t>
  </si>
  <si>
    <t>Verify notes can be added against an attachment</t>
  </si>
  <si>
    <t>OF-021</t>
  </si>
  <si>
    <t>1. Add a note to an attachment, save and reopen</t>
  </si>
  <si>
    <t>SD-025</t>
  </si>
  <si>
    <t>The note is stored against the correct attachment and displayed alongside it.</t>
  </si>
  <si>
    <t>A work order updated on web while the device is offline</t>
  </si>
  <si>
    <t>Verify server-side changes are pulled on reconnect</t>
  </si>
  <si>
    <t>A device syncing after extended offline use</t>
  </si>
  <si>
    <t>AP-008</t>
  </si>
  <si>
    <t>1. While the device is offline, change the work order on web
2. Reconnect and open the work order</t>
  </si>
  <si>
    <t>Verify a large offline backlog syncs correctly</t>
  </si>
  <si>
    <t>The device pulls the updated definition without discarding locally captured progress.</t>
  </si>
  <si>
    <t>1. Accumulate a full shift of offline activity on iOS, then reconnect</t>
  </si>
  <si>
    <t>The backlog uploads completely in order, with no duplicates, no lost entries and clear progress indication to the user.</t>
  </si>
  <si>
    <t>A work order with several image attachments</t>
  </si>
  <si>
    <t>Verify the thumbnail overflow display rule</t>
  </si>
  <si>
    <t>1. Attach more images than the thumbnail strip displays</t>
  </si>
  <si>
    <t>Three thumbnails are shown with the last carrying the remaining count, per the design specification.</t>
  </si>
  <si>
    <t>OF-022</t>
  </si>
  <si>
    <t>App killed with pending offline data</t>
  </si>
  <si>
    <t>Verify offline data survives an app restart</t>
  </si>
  <si>
    <t>1. Capture offline actions, force-quit the app while still offline
2. Relaunch and reconnect</t>
  </si>
  <si>
    <t>AP-009</t>
  </si>
  <si>
    <t>The pending queue survives the restart and uploads completely on reconnect.</t>
  </si>
  <si>
    <t>Line-Level</t>
  </si>
  <si>
    <t>An inspection template with attributes</t>
  </si>
  <si>
    <t>Verify photos and notes can be attached at question/line level on Create Attribute</t>
  </si>
  <si>
    <t>1. On the Create Attribute screen attach photos and notes against individual questions</t>
  </si>
  <si>
    <t>Each attachment and note binds to the correct question and is retrievable afterwards.</t>
  </si>
  <si>
    <t>OF-023</t>
  </si>
  <si>
    <t>Device with low storage</t>
  </si>
  <si>
    <t>Verify behaviour when local storage is nearly full</t>
  </si>
  <si>
    <t>1. Fill device storage close to capacity and attempt to capture offline data with attachments</t>
  </si>
  <si>
    <t>The app warns the user rather than silently failing, and already-captured data is not corrupted.</t>
  </si>
  <si>
    <t>AP-010</t>
  </si>
  <si>
    <t>An existing attribute with attachments</t>
  </si>
  <si>
    <t>Verify photos and notes at question level on Edit Attribute</t>
  </si>
  <si>
    <t>OF-024</t>
  </si>
  <si>
    <t>1. On the Edit Attribute screen add, replace and remove attachments against individual questions</t>
  </si>
  <si>
    <t>All changes bind to the correct question and are reflected on mobile after sync.</t>
  </si>
  <si>
    <t>Poor or intermittent connectivity</t>
  </si>
  <si>
    <t>Verify behaviour on a slow or flapping connection</t>
  </si>
  <si>
    <t>1. Throttle the connection heavily and perform sync-triggering actions</t>
  </si>
  <si>
    <t>Requests time out gracefully with retry, the UI stays responsive and no partial write corrupts the local store.</t>
  </si>
  <si>
    <t>AP-011</t>
  </si>
  <si>
    <t>OF-025</t>
  </si>
  <si>
    <t>An operational work order with attachments</t>
  </si>
  <si>
    <t>Offline observation with a large video attachment</t>
  </si>
  <si>
    <t>Verify attachment placement on the operational work order screen</t>
  </si>
  <si>
    <t>Verify large media queued offline uploads successfully</t>
  </si>
  <si>
    <t>1. Open an operational work order with attachments and inspect the layout</t>
  </si>
  <si>
    <t>1. Capture an observation with a large video offline, then reconnect</t>
  </si>
  <si>
    <t>Attachments appear at the bottom, immediately before the map section, per the design.</t>
  </si>
  <si>
    <t>The media uploads completely, is compressed per the rules where applicable and is viewable on web afterwards.</t>
  </si>
  <si>
    <t>OF-026</t>
  </si>
  <si>
    <t>Chat Offline</t>
  </si>
  <si>
    <t>AP-012</t>
  </si>
  <si>
    <t>Verify chat messages composed offline are queued and sent</t>
  </si>
  <si>
    <t>1. Send several chat messages while offline, then reconnect</t>
  </si>
  <si>
    <t>Each message is queued with a pending indicator and delivered once on reconnect in the original order.</t>
  </si>
  <si>
    <t>A planned inspection filled from mobile</t>
  </si>
  <si>
    <t>1. Enter data against an attribute that carries reference images</t>
  </si>
  <si>
    <t>The reference images are viewable at the point of answering and open full-screen.</t>
  </si>
  <si>
    <t>OF-027</t>
  </si>
  <si>
    <t>Harvest Offline</t>
  </si>
  <si>
    <t>Device offline with harvest work order downloaded</t>
  </si>
  <si>
    <t>Verify offline harvest actions match the permission matrix</t>
  </si>
  <si>
    <t>AP-013</t>
  </si>
  <si>
    <t>1. While offline attempt Start Harvest ID, Create Ticket, End Cart (permitted) and Link Harvest ID, Mark Ticket Complete, Edit Ticket (online only)</t>
  </si>
  <si>
    <t>Permitted actions succeed and queue; online-only actions are refused with a clear message.</t>
  </si>
  <si>
    <t>A completed planned inspection</t>
  </si>
  <si>
    <t>Verify the manager can view attached inspection images at key-value level</t>
  </si>
  <si>
    <t>1. Open the work order detail on web and expand a key-value attribute</t>
  </si>
  <si>
    <t>The images attached at that level are visible and downloadable from the detail page.</t>
  </si>
  <si>
    <t>OF-028</t>
  </si>
  <si>
    <t>Battery &amp; Resource</t>
  </si>
  <si>
    <t>A full shift of offline usage</t>
  </si>
  <si>
    <t>Verify battery and memory usage over an extended offline session</t>
  </si>
  <si>
    <t>AP-014</t>
  </si>
  <si>
    <t>1. Run the app through a simulated full shift offline with location logging active
2. Record battery drain and check for memory warnings</t>
  </si>
  <si>
    <t>Battery consumption is within the agreed threshold and no memory warning or crash occurs during the session.</t>
  </si>
  <si>
    <t>Cross-Platform</t>
  </si>
  <si>
    <t>An attachment uploaded from iOS</t>
  </si>
  <si>
    <t>Verify an iOS-uploaded attachment is visible on web and Android</t>
  </si>
  <si>
    <t>1. Upload an attachment from iOS, sync, then view on web and on an Android device if available</t>
  </si>
  <si>
    <t>The attachment is visible and openable on every platform with no corruption.</t>
  </si>
  <si>
    <t>OF-029</t>
  </si>
  <si>
    <t>Data Integrity</t>
  </si>
  <si>
    <t>A full offline shift synced</t>
  </si>
  <si>
    <t>Verify end-to-end reconciliation of an offline shift</t>
  </si>
  <si>
    <t>AP-015</t>
  </si>
  <si>
    <t>1. Complete a full offline shift, sync, then reconcile every progress entry, hour log, consumption and attachment against the web records</t>
  </si>
  <si>
    <t>Every locally captured item is present on the server with matching values and timestamps, and nothing extra has been created.</t>
  </si>
  <si>
    <t>An attachment uploaded from web</t>
  </si>
  <si>
    <t>AgriERP / AgriFarm  -  Vann Brothers Regression Suite  |  Weather &amp; Location Tracking</t>
  </si>
  <si>
    <t>Verify a web-uploaded attachment is visible on iOS</t>
  </si>
  <si>
    <t>1. Upload from web, sync the iOS app and open the record</t>
  </si>
  <si>
    <t>The attachment is downloadable and viewable on iOS.</t>
  </si>
  <si>
    <t>AP-016</t>
  </si>
  <si>
    <t>Media Capture</t>
  </si>
  <si>
    <t>Camera and microphone permissions granted</t>
  </si>
  <si>
    <t>Verify instant voice recording upload</t>
  </si>
  <si>
    <t>1. Record a voice note within the work order and save</t>
  </si>
  <si>
    <t>The recording uploads successfully and plays back on both mobile and web.</t>
  </si>
  <si>
    <t>AP-017</t>
  </si>
  <si>
    <t>Verify a recording longer than 30 seconds is compressed</t>
  </si>
  <si>
    <t>1. Record a voice note longer than 30 seconds and upload it</t>
  </si>
  <si>
    <t>The recording is compressed per the rule before upload and remains audible and complete.</t>
  </si>
  <si>
    <t>AP-018</t>
  </si>
  <si>
    <t>Media available in the gallery</t>
  </si>
  <si>
    <t>Verify a gallery recording longer than 30 seconds is compressed</t>
  </si>
  <si>
    <t>1. Attach a gallery recording longer than 30 seconds</t>
  </si>
  <si>
    <t>The file is compressed per the rule before upload with no loss of content.</t>
  </si>
  <si>
    <t>AP-019</t>
  </si>
  <si>
    <t>WT-001</t>
  </si>
  <si>
    <t>Verify video upload via instant recording and via the gallery</t>
  </si>
  <si>
    <t>Weather - Web</t>
  </si>
  <si>
    <t>1. Record a video in-app and upload it
2. Attach a video from the gallery</t>
  </si>
  <si>
    <t>Both upload successfully and play back on mobile and web.</t>
  </si>
  <si>
    <t>A work order not yet started</t>
  </si>
  <si>
    <t>Verify the weather section exists before any job starts</t>
  </si>
  <si>
    <t>1. Open the work order detail on web and locate the weather section above the map</t>
  </si>
  <si>
    <t>The section is present but shows no data, with a clear empty state rather than an error.</t>
  </si>
  <si>
    <t>AP-020</t>
  </si>
  <si>
    <t>PDF Export</t>
  </si>
  <si>
    <t>A planned work order with complete data</t>
  </si>
  <si>
    <t>Verify the Print/Export option generates a PDF</t>
  </si>
  <si>
    <t>1. Open the work order and click Print/Export</t>
  </si>
  <si>
    <t>A PDF is generated and downloaded without error.</t>
  </si>
  <si>
    <t>AP-021</t>
  </si>
  <si>
    <t>A planned work order</t>
  </si>
  <si>
    <t>Verify PDF content matches the work order detail screen</t>
  </si>
  <si>
    <t>WT-002</t>
  </si>
  <si>
    <t>1. Generate the PDF and compare every section against the detail screen</t>
  </si>
  <si>
    <t>All data in the PDF matches the work order detail exactly, including dates, quantities and names.</t>
  </si>
  <si>
    <t>A work order with started and ended jobs</t>
  </si>
  <si>
    <t>Verify weather data displays in tabular form</t>
  </si>
  <si>
    <t>1. Open the work order and inspect the weather section</t>
  </si>
  <si>
    <t>AP-022</t>
  </si>
  <si>
    <t>A table shows Timestamp, Temperature, Wind Speed and Wind Direction for the start and end events of each plot.</t>
  </si>
  <si>
    <t>A planned (by group) work order</t>
  </si>
  <si>
    <t>Verify PDF generation for a by-group work order</t>
  </si>
  <si>
    <t>1. Export a by-group planned work order</t>
  </si>
  <si>
    <t>The PDF generates with the group resource structure represented correctly.</t>
  </si>
  <si>
    <t>WT-003</t>
  </si>
  <si>
    <t>A work order with weather logs</t>
  </si>
  <si>
    <t>Verify weather details are included in the PDF export</t>
  </si>
  <si>
    <t>AP-023</t>
  </si>
  <si>
    <t>1. Download the work order PDF and inspect the weather table</t>
  </si>
  <si>
    <t>The PDF contains the weather table with the same values as the web view.</t>
  </si>
  <si>
    <t>A planned inspection work order</t>
  </si>
  <si>
    <t>Verify PDF generation for an inspection work order</t>
  </si>
  <si>
    <t>1. Export a planned inspection work order</t>
  </si>
  <si>
    <t>The PDF generates and contains the inspection information and block progress sections.</t>
  </si>
  <si>
    <t>WT-004</t>
  </si>
  <si>
    <t>AP-024</t>
  </si>
  <si>
    <t>1. Start and pause jobs on plots of an inspection work order
2. Inspect the weather section</t>
  </si>
  <si>
    <t>A harvest work order</t>
  </si>
  <si>
    <t>Verify PDF generation for a harvest work order</t>
  </si>
  <si>
    <t>1. Export a harvest work order</t>
  </si>
  <si>
    <t>The PDF generates and contains the picked summary, block progress, assets and resources sections.</t>
  </si>
  <si>
    <t>WT-005</t>
  </si>
  <si>
    <t>A completed job on a plot</t>
  </si>
  <si>
    <t>Verify the weather grid updates when spent hours are adjusted</t>
  </si>
  <si>
    <t>AP-025</t>
  </si>
  <si>
    <t>1. Note the weather log timestamp
2. Edit the spent hours / end time manually on web
3. Re-inspect the grid</t>
  </si>
  <si>
    <t>The end date/time in the plot grid and the corresponding weather entry both update to the adjusted time. Known defect area - verify explicitly.</t>
  </si>
  <si>
    <t>Work orders of every type</t>
  </si>
  <si>
    <t>Verify PDF generation succeeds for all work order types</t>
  </si>
  <si>
    <t>1. Export a Planned, Ad-hoc, General, Inspection and Harvest work order in turn</t>
  </si>
  <si>
    <t>Every type exports successfully without error. This has previously failed for some types - verify each.</t>
  </si>
  <si>
    <t>WT-006</t>
  </si>
  <si>
    <t>Spent hours manually adjusted</t>
  </si>
  <si>
    <t>AP-026</t>
  </si>
  <si>
    <t>Verify manual time adjustments are reflected in the PDF export</t>
  </si>
  <si>
    <t>1. Adjust spent hours, verify the updated weather log, then export the PDF</t>
  </si>
  <si>
    <t>The PDF shows the updated weather grid with the adjusted timestamps. Known defect area - verify explicitly.</t>
  </si>
  <si>
    <t>A work order with block progress</t>
  </si>
  <si>
    <t>Verify the block progress section appears in the PDF</t>
  </si>
  <si>
    <t>1. Export a multi-block work order and inspect the PDF</t>
  </si>
  <si>
    <t>Every block appears with progress values matching the detail screen.</t>
  </si>
  <si>
    <t>WT-007</t>
  </si>
  <si>
    <t>A work order with multiple plots and alphanumeric field codes</t>
  </si>
  <si>
    <t>AP-027</t>
  </si>
  <si>
    <t>Verify sorting by field code then date/time</t>
  </si>
  <si>
    <t>1. Inspect the weather grid ordering across plots and dates</t>
  </si>
  <si>
    <t>Records are sorted alphanumerically by field code and then chronologically by date and time within each code.</t>
  </si>
  <si>
    <t>A work order with resources and assets</t>
  </si>
  <si>
    <t>Verify the resources and assets sections in the PDF</t>
  </si>
  <si>
    <t>1. Inspect the resources and assets sections of the exported PDF</t>
  </si>
  <si>
    <t>Both sections are present with the correct entries and hours.</t>
  </si>
  <si>
    <t>WT-008</t>
  </si>
  <si>
    <t>A sorted weather grid</t>
  </si>
  <si>
    <t>Verify sorting is applied consistently in the PDF</t>
  </si>
  <si>
    <t>1. Generate the PDF and inspect the order of weather records</t>
  </si>
  <si>
    <t>AP-028</t>
  </si>
  <si>
    <t>The sort order in the PDF matches the web UI exactly.</t>
  </si>
  <si>
    <t>A work order with block locations</t>
  </si>
  <si>
    <t>Verify the map displays in the PDF</t>
  </si>
  <si>
    <t>1. Export a work order with mapped blocks and inspect the map image</t>
  </si>
  <si>
    <t>The map renders clearly and legibly in the PDF. Known defect area - verify clarity and that the map is not blank.</t>
  </si>
  <si>
    <t>WT-009</t>
  </si>
  <si>
    <t>A work order containing a plot with missing coordinates</t>
  </si>
  <si>
    <t>Verify weather grid exclusion for plots without coordinates</t>
  </si>
  <si>
    <t>1. Start and end the job on the plot lacking coordinates
2. Inspect the weather section and the plots map</t>
  </si>
  <si>
    <t>AP-029</t>
  </si>
  <si>
    <t>The map section shows the 'no coordinates found' warning and the weather grid contains no record for that plot.</t>
  </si>
  <si>
    <t>A work order with multiple blocks</t>
  </si>
  <si>
    <t>Verify collage images render for multiple blocks</t>
  </si>
  <si>
    <t>1. Export a multi-block work order and inspect the images section</t>
  </si>
  <si>
    <t>A collage of block images is rendered correctly with each block identifiable.</t>
  </si>
  <si>
    <t>WT-010</t>
  </si>
  <si>
    <t>Weather - Mobile</t>
  </si>
  <si>
    <t>A work order with multiple plots</t>
  </si>
  <si>
    <t>Verify plot-level weather data mapping on job start</t>
  </si>
  <si>
    <t>AP-030</t>
  </si>
  <si>
    <t>1. Start the job on each plot individually from the mobile app</t>
  </si>
  <si>
    <t>The start date/time updates per plot and a weather entry is written against the correct plot ID.</t>
  </si>
  <si>
    <t>Verify attachments are included in the PDF export</t>
  </si>
  <si>
    <t>1. Add attachments to the work order and export</t>
  </si>
  <si>
    <t>Attachments are included or referenced with working links. Known defect area - verify the links resolve.</t>
  </si>
  <si>
    <t>WT-011</t>
  </si>
  <si>
    <t>AP-031</t>
  </si>
  <si>
    <t>A job active on a plot</t>
  </si>
  <si>
    <t>Verify a weather log is written on partial pause</t>
  </si>
  <si>
    <t>1. Pause the job while the plot area is only partially complete</t>
  </si>
  <si>
    <t>A work order with many images</t>
  </si>
  <si>
    <t>The end date/time updates immediately and a weather entry is added against the correct plot.</t>
  </si>
  <si>
    <t>Verify the four-images-per-page rule</t>
  </si>
  <si>
    <t>1. Export a work order carrying many image attachments</t>
  </si>
  <si>
    <t>The PDF lays out exactly four images per page, for both block images and general attachments.</t>
  </si>
  <si>
    <t>WT-012</t>
  </si>
  <si>
    <t>AP-032</t>
  </si>
  <si>
    <t>A partially paused plot</t>
  </si>
  <si>
    <t>Verify the weather log refreshes on plot completion</t>
  </si>
  <si>
    <t>1. Complete the area and pause the job again</t>
  </si>
  <si>
    <t>A work order with images and a map</t>
  </si>
  <si>
    <t>The end date/time updates to the final time and the earlier partial-pause entry refreshes to the updated time and status.</t>
  </si>
  <si>
    <t>Verify the map appears after the image pages</t>
  </si>
  <si>
    <t>1. Inspect the page ordering of the exported PDF</t>
  </si>
  <si>
    <t>The map section follows the image pages per the design specification.</t>
  </si>
  <si>
    <t>WT-013</t>
  </si>
  <si>
    <t>AP-033</t>
  </si>
  <si>
    <t>Verify no weather log is written on Save Progress alone</t>
  </si>
  <si>
    <t>1. Start a job and only click Save Progress
2. Inspect the weather table</t>
  </si>
  <si>
    <t>A block with image attachments</t>
  </si>
  <si>
    <t>Verify each image carries a describing caption</t>
  </si>
  <si>
    <t>No weather entry is created for a save-only action. Known defect area - verify explicitly.</t>
  </si>
  <si>
    <t>1. Inspect the captions under images in the PDF</t>
  </si>
  <si>
    <t>Each image has a caption identifying its block or location.</t>
  </si>
  <si>
    <t>WT-014</t>
  </si>
  <si>
    <t>AP-034</t>
  </si>
  <si>
    <t>Weather data captured</t>
  </si>
  <si>
    <t>A work order with maximum data</t>
  </si>
  <si>
    <t>Verify wind direction formatting</t>
  </si>
  <si>
    <t>Verify PDF layout and formatting under maximum load</t>
  </si>
  <si>
    <t>1. Inspect the wind direction on a captured weather entry</t>
  </si>
  <si>
    <t>1. Export a work order with the maximum plots, materials, resources, notes and attachments
2. Inspect every page</t>
  </si>
  <si>
    <t>The direction is displayed as a readable compass direction rather than a raw degree value or code.</t>
  </si>
  <si>
    <t>The layout is professional with no content cut off, overlapping or spilling outside the page margins.</t>
  </si>
  <si>
    <t>WT-015</t>
  </si>
  <si>
    <t>AP-035</t>
  </si>
  <si>
    <t>Verify weather behaviour when the device is offline</t>
  </si>
  <si>
    <t>A work order with a long note</t>
  </si>
  <si>
    <t>1. Disable Wi-Fi and trigger a start or end job event
2. Open the weather section</t>
  </si>
  <si>
    <t>Verify long notes render correctly in the PDF</t>
  </si>
  <si>
    <t>The app remains stable and responsive, shows an offline indicator and does not hang waiting on the unreachable API.</t>
  </si>
  <si>
    <t>1. Add a 200-character note and export, then repeat with a 100-character note</t>
  </si>
  <si>
    <t>Both notes render in full with correct wrapping and no truncation.</t>
  </si>
  <si>
    <t>WT-016</t>
  </si>
  <si>
    <t>AP-036</t>
  </si>
  <si>
    <t>A paused job</t>
  </si>
  <si>
    <t>Verify no weather entry is created on Resume</t>
  </si>
  <si>
    <t>1. Start, pause and then resume a job</t>
  </si>
  <si>
    <t>No new weather entry is created on resume; entries are only written on start, partial pause and completion.</t>
  </si>
  <si>
    <t>Verify material template data matches in the PDF</t>
  </si>
  <si>
    <t>1. Compare the PDF material section against the source material template</t>
  </si>
  <si>
    <t>Every material, rate, unit and application value matches the template definition.</t>
  </si>
  <si>
    <t>WT-017</t>
  </si>
  <si>
    <t>AP-037</t>
  </si>
  <si>
    <t>A job on a plot</t>
  </si>
  <si>
    <t>Verify rapid start/pause toggling does not duplicate logs</t>
  </si>
  <si>
    <t>Verify the weather table appears in the PDF</t>
  </si>
  <si>
    <t>1. Rapidly start and then pause within two seconds and inspect the weather table</t>
  </si>
  <si>
    <t>1. Export a work order that has weather logs and inspect the PDF</t>
  </si>
  <si>
    <t>The system records the events without duplicating entries or crashing the weather capture service.</t>
  </si>
  <si>
    <t>The weather table is present with timestamp, temperature, wind speed and direction for each start and end event.</t>
  </si>
  <si>
    <t>WT-018</t>
  </si>
  <si>
    <t>AP-038</t>
  </si>
  <si>
    <t>A job spanning midnight</t>
  </si>
  <si>
    <t>Verify weather capture on a multi-day work order</t>
  </si>
  <si>
    <t>A work order on the iOS app</t>
  </si>
  <si>
    <t>1. Start a job just before midnight and pause it just after</t>
  </si>
  <si>
    <t>Verify PDF download from the mobile app</t>
  </si>
  <si>
    <t>The end date and time reflect the date change correctly and the weather log timestamps the actual moment of each action.</t>
  </si>
  <si>
    <t>1. Download the work order PDF from iOS and open it</t>
  </si>
  <si>
    <t>The PDF downloads and opens correctly on the device with the same content as the web export.</t>
  </si>
  <si>
    <t>WT-019</t>
  </si>
  <si>
    <t>Tracking - iOS</t>
  </si>
  <si>
    <t>Location permission set to 'While Using the App'</t>
  </si>
  <si>
    <t>Verify tracking logs for a normal shift</t>
  </si>
  <si>
    <t>1. Work a normal shift with the app in use
2. Open the location log from the app menu</t>
  </si>
  <si>
    <t>Location points are recorded at the configured interval throughout the shift with plausible coordinates.</t>
  </si>
  <si>
    <t>AP-039</t>
  </si>
  <si>
    <t>WT-020</t>
  </si>
  <si>
    <t>The same work order exported from web and iOS</t>
  </si>
  <si>
    <t>Verify web and mobile PDF exports are equivalent</t>
  </si>
  <si>
    <t>Verify tracking logs across an overnight shift</t>
  </si>
  <si>
    <t>1. Export the same work order from both platforms and compare section by section</t>
  </si>
  <si>
    <t>1. Work a shift that crosses midnight and inspect the log</t>
  </si>
  <si>
    <t>Both PDFs contain the same data and sections; any deliberate difference is documented.</t>
  </si>
  <si>
    <t>Points are recorded continuously across the date boundary and are attributed to the correct shift.</t>
  </si>
  <si>
    <t>AP-040</t>
  </si>
  <si>
    <t>WT-021</t>
  </si>
  <si>
    <t>Supervisor account</t>
  </si>
  <si>
    <t>Verify supervisor tracking logs on a normal shift</t>
  </si>
  <si>
    <t>An attachment URL</t>
  </si>
  <si>
    <t>1. Work a shift as a supervisor and inspect the logs</t>
  </si>
  <si>
    <t>Verify attachments are not retrievable by unauthenticated URL</t>
  </si>
  <si>
    <t>The supervisor's own points are recorded and the supervisor can view logs for their team.</t>
  </si>
  <si>
    <t>1. Copy an attachment URL and open it in an unauthenticated session</t>
  </si>
  <si>
    <t>Access is denied; the file is not served without a valid session and appropriate rights.</t>
  </si>
  <si>
    <t>WT-022</t>
  </si>
  <si>
    <t>Responsible account</t>
  </si>
  <si>
    <t>Verify responsible tracking logs on a normal shift</t>
  </si>
  <si>
    <t>1. Work a shift as the responsible and inspect the logs</t>
  </si>
  <si>
    <t>Points are recorded correctly and attributed to the responsible user.</t>
  </si>
  <si>
    <t>WT-023</t>
  </si>
  <si>
    <t>Device offline during a shift</t>
  </si>
  <si>
    <t>Verify offline tracking logs are captured and synced</t>
  </si>
  <si>
    <t>1. Work part of the shift offline, then reconnect</t>
  </si>
  <si>
    <t>Points captured offline are stored locally and uploaded on reconnect with their original timestamps preserved.</t>
  </si>
  <si>
    <t>WT-024</t>
  </si>
  <si>
    <t>App in the foreground</t>
  </si>
  <si>
    <t>Verify logging while the app is in the foreground</t>
  </si>
  <si>
    <t>1. Keep the app in the foreground during a timed-in period and inspect the log</t>
  </si>
  <si>
    <t>Points are recorded at the configured interval.</t>
  </si>
  <si>
    <t>WT-025</t>
  </si>
  <si>
    <t>App in the background</t>
  </si>
  <si>
    <t>Verify logging while the app is backgrounded</t>
  </si>
  <si>
    <t>1. Background the app during a timed-in period and inspect the log afterwards</t>
  </si>
  <si>
    <t>Background logging follows the documented behaviour for the granted permission level, with no gaps beyond the expected interval.</t>
  </si>
  <si>
    <t>WT-026</t>
  </si>
  <si>
    <t>App killed while timed in</t>
  </si>
  <si>
    <t>Verify logging stops when the app is killed</t>
  </si>
  <si>
    <t>1. Time in, then force-quit the app
2. Inspect the log for the period after the kill</t>
  </si>
  <si>
    <t>No points are recorded after the app is killed, per the documented behaviour.</t>
  </si>
  <si>
    <t>WT-027</t>
  </si>
  <si>
    <t>Location permission set to 'Allow Once'</t>
  </si>
  <si>
    <t>Verify tracking with 'Allow Once' permission</t>
  </si>
  <si>
    <t>1. Grant 'Allow Once' and work briefly, then inspect the log</t>
  </si>
  <si>
    <t>Points are recorded for the granted session and logging stops cleanly when the grant lapses.</t>
  </si>
  <si>
    <t>WT-028</t>
  </si>
  <si>
    <t>Verify behaviour when location permission is denied</t>
  </si>
  <si>
    <t>1. Deny location permission and attempt to use tracked features</t>
  </si>
  <si>
    <t>The app clearly states that location access is required and blocks only the tracked features rather than crashing.</t>
  </si>
  <si>
    <t>WT-029</t>
  </si>
  <si>
    <t>Tracking - Web</t>
  </si>
  <si>
    <t>Tracking data captured on mobile</t>
  </si>
  <si>
    <t>Verify tracking logs from the Attendance screen</t>
  </si>
  <si>
    <t>1. Open the Attendance menu on web and click the tracking log icon for a user</t>
  </si>
  <si>
    <t>The user's location log is displayed with timestamps and points matching the mobile capture.</t>
  </si>
  <si>
    <t>WT-030</t>
  </si>
  <si>
    <t>Tracking data on a planned work order</t>
  </si>
  <si>
    <t>Verify tracking logs from a planned work order</t>
  </si>
  <si>
    <t>1. Open a planned work order and click the tracking log icon</t>
  </si>
  <si>
    <t>The log shows points captured while the user worked that work order.</t>
  </si>
  <si>
    <t>WT-031</t>
  </si>
  <si>
    <t>Tracking data on a general work order</t>
  </si>
  <si>
    <t>Verify tracking logs from a general work order</t>
  </si>
  <si>
    <t>1. Open a general work order and click the tracking log icon</t>
  </si>
  <si>
    <t>The log displays correctly for the work order's timed-in users.</t>
  </si>
  <si>
    <t>WT-032</t>
  </si>
  <si>
    <t>Tracking data on an inspection work order</t>
  </si>
  <si>
    <t>Verify tracking logs from an inspection work order</t>
  </si>
  <si>
    <t>1. Open an inspection work order and click the tracking log icon</t>
  </si>
  <si>
    <t>The log displays correctly for the inspection's timed-in users.</t>
  </si>
  <si>
    <t>WT-033</t>
  </si>
  <si>
    <t>Tracking log view open</t>
  </si>
  <si>
    <t>Verify the shift filter on the tracking log</t>
  </si>
  <si>
    <t>1. Apply the shift filter and observe the plotted points</t>
  </si>
  <si>
    <t>Only points from the selected shift are shown and the filter can be cleared.</t>
  </si>
  <si>
    <t>WT-034</t>
  </si>
  <si>
    <t>Verify the events filter on the tracking log</t>
  </si>
  <si>
    <t>1. Apply the events filter and observe the results</t>
  </si>
  <si>
    <t>Only the selected event types are shown and the filter combines correctly with the shift filter.</t>
  </si>
  <si>
    <t>WT-035</t>
  </si>
  <si>
    <t>A user with a configured tracking interval</t>
  </si>
  <si>
    <t>Verify the configured interval is honoured in the captured data</t>
  </si>
  <si>
    <t>1. Set a 30-minute interval for a user
2. Have them work a shift and inspect the point spacing</t>
  </si>
  <si>
    <t>Point spacing matches the configured interval within the documented tolerance.</t>
  </si>
  <si>
    <t>AgriERP / AgriFarm  -  Vann Brothers Regression Suite  |  Cross-Cutting &amp; NFR</t>
  </si>
  <si>
    <t>Defect Log  -  raise one row per failure and reference the ID from the module tab Comments column</t>
  </si>
  <si>
    <t>CX-001</t>
  </si>
  <si>
    <t>Chrome, Edge, Firefox and Safari available</t>
  </si>
  <si>
    <t>Verify cross-browser rendering of the app shell and a data grid</t>
  </si>
  <si>
    <t>1. Open the app in each browser
2. Check the header, navigation, a data grid and a modal</t>
  </si>
  <si>
    <t>Layout, fonts and interactions are consistent across all four browsers with no broken control or overlapping element.</t>
  </si>
  <si>
    <t>CX-002</t>
  </si>
  <si>
    <t>Verify the core create-work-order flow in each browser</t>
  </si>
  <si>
    <t>1. Create and submit a work order in each browser</t>
  </si>
  <si>
    <t>The flow completes successfully in every browser with identical results.</t>
  </si>
  <si>
    <t>CX-003</t>
  </si>
  <si>
    <t>Resizable browser window</t>
  </si>
  <si>
    <t>Verify responsive behaviour at tablet widths</t>
  </si>
  <si>
    <t>1. Resize the browser to roughly 1024px and 768px
2. Inspect the header, sidebar, grids and the Create Work Order form</t>
  </si>
  <si>
    <t>Content reflows without horizontal scrolling traps, controls remain reachable and no text is clipped.</t>
  </si>
  <si>
    <t>CX-004</t>
  </si>
  <si>
    <t>Defect ID</t>
  </si>
  <si>
    <t>Records created on iOS and on web</t>
  </si>
  <si>
    <t>Linked TC-ID</t>
  </si>
  <si>
    <t>Verify data created on either platform is fully visible on the other</t>
  </si>
  <si>
    <t>1. Create a work order, an observation and a chat message on each platform
2. Verify each on the opposite platform</t>
  </si>
  <si>
    <t>Every record is visible with complete data on the opposite platform after sync.</t>
  </si>
  <si>
    <t>Summary</t>
  </si>
  <si>
    <t>Steps to Reproduce</t>
  </si>
  <si>
    <t>CX-005</t>
  </si>
  <si>
    <t>Severity</t>
  </si>
  <si>
    <t>Typical QA data volumes</t>
  </si>
  <si>
    <t>Verify key pages load within the agreed threshold</t>
  </si>
  <si>
    <t>1. Measure first meaningful render for Maps, the Work Orders list, Harvest Central and Planning
2. Repeat three times and take the median</t>
  </si>
  <si>
    <t>Each page renders within the agreed threshold and the measured values are recorded for trend tracking.</t>
  </si>
  <si>
    <t>Raised By</t>
  </si>
  <si>
    <t>Azure DevOps / Notes</t>
  </si>
  <si>
    <t>CX-006</t>
  </si>
  <si>
    <t>DEF-001</t>
  </si>
  <si>
    <t>A large work order dataset</t>
  </si>
  <si>
    <t>Verify grid performance with a large record set</t>
  </si>
  <si>
    <t>1. Set the page size to 100 on the Work Orders list and page through the data</t>
  </si>
  <si>
    <t>Paging, sorting and searching all respond within the agreed threshold with no browser freeze.</t>
  </si>
  <si>
    <t>CX-007</t>
  </si>
  <si>
    <t>Work orders with 10, 30, 50, 75 and 100 plots</t>
  </si>
  <si>
    <t>Verify detail page load time scales with plot count</t>
  </si>
  <si>
    <t>1. Open the detail of each work order and record the load time</t>
  </si>
  <si>
    <t>Load times remain within the agreed thresholds for each plot count with no timeout at 100 plots.</t>
  </si>
  <si>
    <t>EXAMPLE ROW - delete before use. Resource hours adjustment on an In Progress work order does not persist.</t>
  </si>
  <si>
    <t>1. Open an In Progress WO on web
2. Edit resource hours
3. Save and reopen</t>
  </si>
  <si>
    <t>CX-008</t>
  </si>
  <si>
    <t>High</t>
  </si>
  <si>
    <t>A dashboard with 100 plots of live data</t>
  </si>
  <si>
    <t>Verify dashboard aggregation performance</t>
  </si>
  <si>
    <t>1. Load the dashboard for a 100-plot work order and observe aggregation and chart rendering</t>
  </si>
  <si>
    <t>The dashboard loads within the agreed threshold, aggregations are accurate and charts render fully.</t>
  </si>
  <si>
    <t>Open</t>
  </si>
  <si>
    <t>Link the Azure DevOps work item here</t>
  </si>
  <si>
    <t>CX-009</t>
  </si>
  <si>
    <t>Several users viewing the same work order</t>
  </si>
  <si>
    <t>Verify concurrent viewing of one work order</t>
  </si>
  <si>
    <t>1. Have five users open the same work order and refresh; have one make an update</t>
  </si>
  <si>
    <t>All views load within the threshold, the update is visible to the others after refresh and no data inconsistency appears.</t>
  </si>
  <si>
    <t>CX-010</t>
  </si>
  <si>
    <t>A work order with 50 plots</t>
  </si>
  <si>
    <t>Verify plot search and filter performance within a work order</t>
  </si>
  <si>
    <t>1. Search plots by name, filter by status and progress range, then combine filters</t>
  </si>
  <si>
    <t>Each search and filter returns within the agreed threshold with accurate results.</t>
  </si>
  <si>
    <t>CX-011</t>
  </si>
  <si>
    <t>Two accounts in different growers</t>
  </si>
  <si>
    <t>Verify horizontal privilege escalation is prevented</t>
  </si>
  <si>
    <t>1. As user A note a record ID belonging to grower B
2. As user A attempt to access it by URL and by direct API call</t>
  </si>
  <si>
    <t>Both attempts are rejected server-side; no data belonging to another grower is returned.</t>
  </si>
  <si>
    <t>CX-012</t>
  </si>
  <si>
    <t>A standard user account</t>
  </si>
  <si>
    <t>Verify vertical privilege escalation is prevented</t>
  </si>
  <si>
    <t>1. As a standard user invoke an admin-only endpoint directly</t>
  </si>
  <si>
    <t>The request is rejected with an authorisation error and no admin action is performed.</t>
  </si>
  <si>
    <t>CX-013</t>
  </si>
  <si>
    <t>Any input field</t>
  </si>
  <si>
    <t>Verify input sanitisation against script injection</t>
  </si>
  <si>
    <t>1. Enter script and HTML markup into work order names, notes, chat messages and template names
2. View the stored values everywhere they render</t>
  </si>
  <si>
    <t>Input is stored and rendered as literal text on every surface including PDFs and the mobile app; nothing executes.</t>
  </si>
  <si>
    <t>CX-014</t>
  </si>
  <si>
    <t>Any list search field</t>
  </si>
  <si>
    <t>Verify resistance to SQL/query injection patterns</t>
  </si>
  <si>
    <t>1. Enter common injection payloads into search fields and submit</t>
  </si>
  <si>
    <t>The application returns a normal empty or filtered result and never exposes a database error or unexpected data.</t>
  </si>
  <si>
    <t>CX-015</t>
  </si>
  <si>
    <t>Verify sensitive data is not exposed in URLs or logs</t>
  </si>
  <si>
    <t>1. Inspect URLs, browser storage and console output during a normal session</t>
  </si>
  <si>
    <t>No credential, token or personal data is written to the URL, console or persistent browser storage in readable form.</t>
  </si>
  <si>
    <t>CX-016</t>
  </si>
  <si>
    <t>iOS device</t>
  </si>
  <si>
    <t>Verify local data is stored securely on the device</t>
  </si>
  <si>
    <t>1. Inspect the app's local storage after downloading work orders and capturing offline data</t>
  </si>
  <si>
    <t>Cached business data is protected per the security policy and is unreadable without the app's credentials.</t>
  </si>
  <si>
    <t>CX-017</t>
  </si>
  <si>
    <t>The same dataset across modules</t>
  </si>
  <si>
    <t>Verify plot acreage is consistent across Maps, Planning and Work Orders</t>
  </si>
  <si>
    <t>1. Pick five plots and compare acreage in Maps, Planning and a work order</t>
  </si>
  <si>
    <t>All three surfaces report identical acreage to two decimal places for every plot checked.</t>
  </si>
  <si>
    <t>CX-018</t>
  </si>
  <si>
    <t>Work orders across statuses</t>
  </si>
  <si>
    <t>Verify work order counts reconcile between list, Maps layers and Planning</t>
  </si>
  <si>
    <t>1. Count work orders per status in the list, on the Maps layers and on the Planning board for the same scope</t>
  </si>
  <si>
    <t>The three counts agree for every status.</t>
  </si>
  <si>
    <t>CX-019</t>
  </si>
  <si>
    <t>Hours logged across mobile and web</t>
  </si>
  <si>
    <t>Verify hours reconcile between the mobile log, the work order and Planning</t>
  </si>
  <si>
    <t>1. Log hours on mobile, then compare the work order hour log and the Planning consumed hours</t>
  </si>
  <si>
    <t>All three agree exactly. Hours logged versus hours consumed is a known mismatch area - verify explicitly.</t>
  </si>
  <si>
    <t>CX-020</t>
  </si>
  <si>
    <t>Harvest tickets and D365</t>
  </si>
  <si>
    <t>Verify ticket counts and weights reconcile with D365</t>
  </si>
  <si>
    <t>1. Compare Harvest Central ticket counts and weights against the corresponding D365 records</t>
  </si>
  <si>
    <t>Counts and weights agree for every field/variety checked.</t>
  </si>
  <si>
    <t>CX-021</t>
  </si>
  <si>
    <t>A prior release baseline</t>
  </si>
  <si>
    <t>Verify no previously fixed defect has regressed</t>
  </si>
  <si>
    <t>1. Re-execute the verification steps for every defect closed in the previous two releases</t>
  </si>
  <si>
    <t>No closed defect reproduces; any that does is logged immediately with its original reference.</t>
  </si>
  <si>
    <t>CX-022</t>
  </si>
  <si>
    <t>A newly deployed build</t>
  </si>
  <si>
    <t>Verify the end-to-end smoke path on web and iOS</t>
  </si>
  <si>
    <t>1. Execute login, map load, create work order, sync to mobile, start job, enter progress, end job, end work order and verify on web</t>
  </si>
  <si>
    <t>The complete path succeeds on both platforms with no blocking error at any step.</t>
  </si>
  <si>
    <t>Smoke</t>
  </si>
  <si>
    <t>CX-023</t>
  </si>
  <si>
    <t>Verify the application version and environment after deployment</t>
  </si>
  <si>
    <t>1. Check the version and environment labels on web and iOS against the release record</t>
  </si>
  <si>
    <t>Both match the intended build for the environment under test.</t>
  </si>
  <si>
    <t>CX-024</t>
  </si>
  <si>
    <t>Usability</t>
  </si>
  <si>
    <t>Any destructive action</t>
  </si>
  <si>
    <t>Verify destructive actions require explicit confirmation</t>
  </si>
  <si>
    <t>1. Trigger delete on a work order, a ticket, an attachment and a template</t>
  </si>
  <si>
    <t>Each presents a clear confirmation naming the record, and cancelling makes no change.</t>
  </si>
  <si>
    <t>CX-025</t>
  </si>
  <si>
    <t>Any long-running action</t>
  </si>
  <si>
    <t>Verify progress indication on long-running operations</t>
  </si>
  <si>
    <t>1. Trigger a large export, a bulk post and a large work order save</t>
  </si>
  <si>
    <t>Each shows a progress or busy state, the UI is not silently frozen, and completion or failure is clearly reported.</t>
  </si>
  <si>
    <t>CX-026</t>
  </si>
  <si>
    <t>Any validation failure</t>
  </si>
  <si>
    <t>Verify validation messages are specific and actionable</t>
  </si>
  <si>
    <t>1. Trigger validation failures across the create forms in every module</t>
  </si>
  <si>
    <t>Each message names the field and the problem in plain language; no raw error codes or stack traces are shown.</t>
  </si>
  <si>
    <t>CX-027</t>
  </si>
  <si>
    <t>Verify keyboard navigation through the primary flows</t>
  </si>
  <si>
    <t>1. Navigate the header, a data grid and the Create Work Order form using only the keyboard</t>
  </si>
  <si>
    <t>All interactive elements are reachable and operable by keyboard with a visible focus indicator.</t>
  </si>
  <si>
    <t>CX-028</t>
  </si>
  <si>
    <t>Verify colour contrast on key surfaces</t>
  </si>
  <si>
    <t>1. Check text and control contrast on the header, grids, status chips and map legends</t>
  </si>
  <si>
    <t>Contrast meets the agreed accessibility standard and status is never conveyed by colour alone.</t>
  </si>
  <si>
    <t>CX-029</t>
  </si>
  <si>
    <t>Any module page</t>
  </si>
  <si>
    <t>Verify recovery from a mid-session backend outage</t>
  </si>
  <si>
    <t>1. Take the backend offline mid-session, attempt several actions, then restore it</t>
  </si>
  <si>
    <t>Failures are reported clearly, no data is silently lost, and the app recovers without requiring a re-login once the backend returns.</t>
  </si>
  <si>
    <t>Test Data &amp; Environment Prerequisites</t>
  </si>
  <si>
    <t>CX-030</t>
  </si>
  <si>
    <t>Prepare all of the below BEFORE starting the cycle. Missing prerequisites are the single biggest cause of Blocked cases.</t>
  </si>
  <si>
    <t>A record edited simultaneously on two platforms</t>
  </si>
  <si>
    <t>Verify concurrent edit handling</t>
  </si>
  <si>
    <t>1. Edit the same work order on web and iOS at the same time and save both</t>
  </si>
  <si>
    <t>The documented conflict rule is applied deterministically, the losing edit is reported to its author, and no data is corrupted.</t>
  </si>
  <si>
    <t>Environment</t>
  </si>
  <si>
    <t>Web URL</t>
  </si>
  <si>
    <t>https://agrierp-vann-qa.folio3.site</t>
  </si>
  <si>
    <t>iOS build</t>
  </si>
  <si>
    <t>QA build installed via TestFlight / MDM on at least two devices of different screen sizes</t>
  </si>
  <si>
    <t>Minimum iOS version</t>
  </si>
  <si>
    <t>Confirm the minimum supported version and have one device on it</t>
  </si>
  <si>
    <t>D365 F&amp;O</t>
  </si>
  <si>
    <t>QA environment reachable, sync services running, posting jobs enabled</t>
  </si>
  <si>
    <t>Browsers</t>
  </si>
  <si>
    <t>Chromium based Browser</t>
  </si>
  <si>
    <t>Build under test</t>
  </si>
  <si>
    <t>Record the exact version from the user menu on web and the About screen on iOS</t>
  </si>
  <si>
    <t>Accounts required</t>
  </si>
  <si>
    <t>Admin / Manager (Grower)</t>
  </si>
  <si>
    <t>Full rights including Sync Console, Settings, Delete Work Order, Review/Approve</t>
  </si>
  <si>
    <t>Supervisor</t>
  </si>
  <si>
    <t>Can start/end work orders and jobs, pick resources and assets, no create rights on web</t>
  </si>
  <si>
    <t>Responsible</t>
  </si>
  <si>
    <t>Assigned as responsible on at least two work orders</t>
  </si>
  <si>
    <t>Machine Operator</t>
  </si>
  <si>
    <t>Mapped to a machine resource with implements</t>
  </si>
  <si>
    <t>FarmHand / Crew</t>
  </si>
  <si>
    <t>Minimum permissions - used for negative permission checks</t>
  </si>
  <si>
    <t>Inactive user</t>
  </si>
  <si>
    <t>A user deactivated in Settings, for login-refusal checks</t>
  </si>
  <si>
    <t>Multi-grower user</t>
  </si>
  <si>
    <t>Mapped to two growers with different location sets, for hierarchy checks</t>
  </si>
  <si>
    <t>Restricted-location user</t>
  </si>
  <si>
    <t>Rights to one location only, for isolation checks</t>
  </si>
  <si>
    <t>Bypass-attendance group member</t>
  </si>
  <si>
    <t>Member of a user group with Bypass Attendance enabled</t>
  </si>
  <si>
    <t>Master data</t>
  </si>
  <si>
    <t>Sites / Locations</t>
  </si>
  <si>
    <t>At least two sites so site switching can be exercised</t>
  </si>
  <si>
    <t>At least two crop years with data in each, for season-scoping checks</t>
  </si>
  <si>
    <t>Farms, Fields, Plots</t>
  </si>
  <si>
    <t>Including one field with multiple varieties, one plot with no row configuration, and at least one plot with missing coordinates</t>
  </si>
  <si>
    <t>Crops &amp; Crop Stages</t>
  </si>
  <si>
    <t>Configured with stages and tasks, matching the D365 operations</t>
  </si>
  <si>
    <t>Operations / Tasks</t>
  </si>
  <si>
    <t>Synced from D365 with codes visible</t>
  </si>
  <si>
    <t>Resources &amp; Resource Groups</t>
  </si>
  <si>
    <t>Person and machine resources, plus at least one resource group</t>
  </si>
  <si>
    <t>Assets &amp; Implements</t>
  </si>
  <si>
    <t>Machines with implements attached</t>
  </si>
  <si>
    <t>Both lot-tracked and non-lot-tracked items with inventory on hand</t>
  </si>
  <si>
    <t>Fleet records</t>
  </si>
  <si>
    <t>Driver and plate data, for harvest ticket auto-population</t>
  </si>
  <si>
    <t>POI categories</t>
  </si>
  <si>
    <t>Several categories with distinct icons and colours, including one disabled</t>
  </si>
  <si>
    <t>Transactional data</t>
  </si>
  <si>
    <t>Work orders per status</t>
  </si>
  <si>
    <t>At least two each in Draft, To Do, In Progress, Review and Done</t>
  </si>
  <si>
    <t>Multi-plot work orders</t>
  </si>
  <si>
    <t>One each at 10, 30, 50, 75 and 100 plots for the performance cases</t>
  </si>
  <si>
    <t>Inspection templates</t>
  </si>
  <si>
    <t>One Draft, one Published, one attached to an open work order</t>
  </si>
  <si>
    <t>Attribute set</t>
  </si>
  <si>
    <t>At least one of every control type: Comment Box, Custom Slider, Date Time Picker, Key Value, List Picker, Number Slider, Switch - some with reference images</t>
  </si>
  <si>
    <t>Material templates</t>
  </si>
  <si>
    <t>At least two, against different operations</t>
  </si>
  <si>
    <t>Harvest tickets</t>
  </si>
  <si>
    <t>A mix of posted and unposted tickets across two field/variety combinations</t>
  </si>
  <si>
    <t>Observations</t>
  </si>
  <si>
    <t>Several with each attachment type, across two seasons</t>
  </si>
  <si>
    <t>Conversations</t>
  </si>
  <si>
    <t>One direct chat, one group chat and one work-order chat with message history</t>
  </si>
  <si>
    <t>Weather logs</t>
  </si>
  <si>
    <t>Work orders with started/paused/completed jobs so weather rows exist</t>
  </si>
  <si>
    <t>Tracking logs</t>
  </si>
  <si>
    <t>A completed shift, an overnight shift and an offline period</t>
  </si>
  <si>
    <t>Test files</t>
  </si>
  <si>
    <t>Images</t>
  </si>
  <si>
    <t>JPG and PNG within the size limit, plus one above it</t>
  </si>
  <si>
    <t>Documents</t>
  </si>
  <si>
    <t>PDF and DOCX within the size limit, plus one above it</t>
  </si>
  <si>
    <t>Video</t>
  </si>
  <si>
    <t>One short clip and one longer than 30 seconds, for the compression rule</t>
  </si>
  <si>
    <t>Audio</t>
  </si>
  <si>
    <t>One recording under 30 seconds and one over, for the compression rule</t>
  </si>
  <si>
    <t>Unsupported file</t>
  </si>
  <si>
    <t>An executable or other blocked type, for negative upload checks</t>
  </si>
  <si>
    <t>Before you start</t>
  </si>
  <si>
    <t>Reset Status column</t>
  </si>
  <si>
    <t>Confirm every Status cell reads 'Not Run' before the cycle begins</t>
  </si>
  <si>
    <t>Clear the Defect Log</t>
  </si>
  <si>
    <t>Delete the example row and any defects from the previous cycle</t>
  </si>
  <si>
    <t>Confirm sync is healthy</t>
  </si>
  <si>
    <t>Sync Console &gt; Connections and Service Status must both be green</t>
  </si>
  <si>
    <t>Record the build</t>
  </si>
  <si>
    <t>Enter the web and iOS build numbers on the Cover tab before executing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</si>
</sst>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3">
    <font>
      <sz val="11.0"/>
      <color theme="1"/>
      <name val="Calibri"/>
      <scheme val="minor"/>
    </font>
    <font>
      <b/>
      <sz val="16.0"/>
      <color rgb="FF1F3B4D"/>
      <name val="Arial"/>
    </font>
    <font>
      <b/>
      <sz val="14.0"/>
      <color rgb="FF1F3B4D"/>
      <name val="Arial"/>
    </font>
    <font>
      <b/>
      <sz val="10.0"/>
      <color theme="1"/>
      <name val="Arial"/>
    </font>
    <font>
      <i/>
      <sz val="9.0"/>
      <color theme="1"/>
      <name val="Arial"/>
    </font>
    <font>
      <sz val="10.0"/>
      <color theme="1"/>
      <name val="Arial"/>
    </font>
    <font>
      <b/>
      <sz val="12.0"/>
      <color rgb="FFFFFFFF"/>
      <name val="Arial"/>
    </font>
    <font/>
    <font>
      <b/>
      <sz val="10.0"/>
      <color rgb="FFFFFFFF"/>
      <name val="Arial"/>
    </font>
    <font>
      <b/>
      <sz val="12.0"/>
      <color rgb="FF1F3B4D"/>
      <name val="Arial"/>
    </font>
    <font>
      <i/>
      <sz val="10.0"/>
      <color rgb="FF808080"/>
      <name val="Arial"/>
    </font>
    <font>
      <b/>
      <sz val="11.0"/>
      <color rgb="FFFFFFFF"/>
      <name val="Arial"/>
    </font>
    <font>
      <color theme="1"/>
      <name val="Calibri"/>
      <scheme val="minor"/>
    </font>
  </fonts>
  <fills count="7">
    <fill>
      <patternFill patternType="none"/>
    </fill>
    <fill>
      <patternFill patternType="lightGray"/>
    </fill>
    <fill>
      <patternFill patternType="solid">
        <fgColor rgb="FF2E6E6B"/>
        <bgColor rgb="FF2E6E6B"/>
      </patternFill>
    </fill>
    <fill>
      <patternFill patternType="solid">
        <fgColor rgb="FF1F3B4D"/>
        <bgColor rgb="FF1F3B4D"/>
      </patternFill>
    </fill>
    <fill>
      <patternFill patternType="solid">
        <fgColor rgb="FFFFF2CC"/>
        <bgColor rgb="FFFFF2CC"/>
      </patternFill>
    </fill>
    <fill>
      <patternFill patternType="solid">
        <fgColor rgb="FFF2F2F2"/>
        <bgColor rgb="FFF2F2F2"/>
      </patternFill>
    </fill>
    <fill>
      <patternFill patternType="solid">
        <fgColor rgb="FFEAF1F3"/>
        <bgColor rgb="FFEAF1F3"/>
      </patternFill>
    </fill>
  </fills>
  <borders count="9">
    <border/>
    <border>
      <left/>
      <top/>
      <bottom/>
    </border>
    <border>
      <top/>
      <bottom/>
    </border>
    <border>
      <left style="thin">
        <color rgb="FFBFBFBF"/>
      </left>
      <right style="thin">
        <color rgb="FFBFBFBF"/>
      </right>
      <top style="thin">
        <color rgb="FFBFBFBF"/>
      </top>
      <bottom style="thin">
        <color rgb="FFBFBFBF"/>
      </bottom>
    </border>
    <border>
      <right/>
      <top/>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shrinkToFit="0" vertical="top" wrapText="1"/>
    </xf>
    <xf borderId="1" fillId="2" fontId="6" numFmtId="0" xfId="0" applyAlignment="1" applyBorder="1" applyFill="1" applyFont="1">
      <alignment horizontal="left" vertical="center"/>
    </xf>
    <xf borderId="2" fillId="0" fontId="7" numFmtId="0" xfId="0" applyBorder="1" applyFont="1"/>
    <xf borderId="3" fillId="3" fontId="8" numFmtId="0" xfId="0" applyAlignment="1" applyBorder="1" applyFill="1" applyFont="1">
      <alignment horizontal="center" shrinkToFit="0" vertical="center" wrapText="1"/>
    </xf>
    <xf borderId="4" fillId="0" fontId="7" numFmtId="0" xfId="0" applyBorder="1" applyFont="1"/>
    <xf borderId="0" fillId="0" fontId="9" numFmtId="0" xfId="0" applyFont="1"/>
    <xf borderId="3" fillId="0" fontId="5" numFmtId="0" xfId="0" applyAlignment="1" applyBorder="1" applyFont="1">
      <alignment shrinkToFit="0" vertical="top" wrapText="1"/>
    </xf>
    <xf borderId="3" fillId="0" fontId="5" numFmtId="0" xfId="0" applyAlignment="1" applyBorder="1" applyFont="1">
      <alignment horizontal="center" shrinkToFit="0" vertical="top" wrapText="1"/>
    </xf>
    <xf borderId="3" fillId="3" fontId="8" numFmtId="0" xfId="0" applyBorder="1" applyFill="1" applyFont="1"/>
    <xf borderId="0" fillId="0" fontId="5" numFmtId="0" xfId="0" applyFont="1"/>
    <xf borderId="3" fillId="4" fontId="5" numFmtId="0" xfId="0" applyAlignment="1" applyBorder="1" applyFill="1" applyFont="1">
      <alignment horizontal="center" shrinkToFit="0" vertical="top" wrapText="1"/>
    </xf>
    <xf borderId="3" fillId="4" fontId="5" numFmtId="0" xfId="0" applyBorder="1" applyFill="1" applyFont="1"/>
    <xf borderId="3" fillId="4" fontId="5" numFmtId="0" xfId="0" applyAlignment="1" applyBorder="1" applyFill="1" applyFont="1">
      <alignment shrinkToFit="0" vertical="top" wrapText="1"/>
    </xf>
    <xf borderId="3" fillId="5" fontId="5" numFmtId="0" xfId="0" applyBorder="1" applyFill="1" applyFont="1"/>
    <xf borderId="3" fillId="6" fontId="5" numFmtId="0" xfId="0" applyAlignment="1" applyBorder="1" applyFill="1" applyFont="1">
      <alignment horizontal="center" shrinkToFit="0" vertical="top" wrapText="1"/>
    </xf>
    <xf borderId="3" fillId="0" fontId="5" numFmtId="0" xfId="0" applyAlignment="1" applyBorder="1" applyFont="1">
      <alignment horizontal="center" shrinkToFit="0" vertical="center" wrapText="1"/>
    </xf>
    <xf borderId="3" fillId="6" fontId="5" numFmtId="0" xfId="0" applyAlignment="1" applyBorder="1" applyFill="1" applyFont="1">
      <alignment shrinkToFit="0" vertical="top" wrapText="1"/>
    </xf>
    <xf borderId="3" fillId="0" fontId="5" numFmtId="2" xfId="0" applyAlignment="1" applyBorder="1" applyFont="1" applyNumberFormat="1">
      <alignment horizontal="center" shrinkToFit="0" vertical="center" wrapText="1"/>
    </xf>
    <xf borderId="3" fillId="0" fontId="5" numFmtId="164" xfId="0" applyAlignment="1" applyBorder="1" applyFont="1" applyNumberFormat="1">
      <alignment horizontal="center" shrinkToFit="0" vertical="center" wrapText="1"/>
    </xf>
    <xf borderId="3" fillId="6" fontId="5" numFmtId="0" xfId="0" applyAlignment="1" applyBorder="1" applyFill="1" applyFont="1">
      <alignment horizontal="center" shrinkToFit="0" vertical="center" wrapText="1"/>
    </xf>
    <xf borderId="3" fillId="6" fontId="5" numFmtId="2" xfId="0" applyAlignment="1" applyBorder="1" applyFill="1" applyFont="1" applyNumberFormat="1">
      <alignment horizontal="center" shrinkToFit="0" vertical="center" wrapText="1"/>
    </xf>
    <xf borderId="3" fillId="6" fontId="5" numFmtId="164" xfId="0" applyAlignment="1" applyBorder="1" applyFill="1" applyFont="1" applyNumberFormat="1">
      <alignment horizontal="center" shrinkToFit="0" vertical="center" wrapText="1"/>
    </xf>
    <xf borderId="3" fillId="5" fontId="3" numFmtId="0" xfId="0" applyAlignment="1" applyBorder="1" applyFill="1" applyFont="1">
      <alignment horizontal="center" shrinkToFit="0" vertical="center" wrapText="1"/>
    </xf>
    <xf borderId="3" fillId="5" fontId="3" numFmtId="2" xfId="0" applyAlignment="1" applyBorder="1" applyFill="1" applyFont="1" applyNumberFormat="1">
      <alignment horizontal="center" shrinkToFit="0" vertical="center" wrapText="1"/>
    </xf>
    <xf borderId="3" fillId="2" fontId="8" numFmtId="0" xfId="0" applyAlignment="1" applyBorder="1" applyFill="1" applyFont="1">
      <alignment shrinkToFit="0" vertical="top" wrapText="1"/>
    </xf>
    <xf borderId="3" fillId="2" fontId="8" numFmtId="0" xfId="0" applyAlignment="1" applyBorder="1" applyFill="1" applyFont="1">
      <alignment horizontal="center" shrinkToFit="0" vertical="center" wrapText="1"/>
    </xf>
    <xf borderId="3" fillId="2" fontId="8" numFmtId="2" xfId="0" applyAlignment="1" applyBorder="1" applyFill="1" applyFont="1" applyNumberFormat="1">
      <alignment horizontal="center" shrinkToFit="0" vertical="center" wrapText="1"/>
    </xf>
    <xf borderId="3" fillId="2" fontId="8" numFmtId="164" xfId="0" applyAlignment="1" applyBorder="1" applyFill="1" applyFont="1" applyNumberFormat="1">
      <alignment horizontal="center" shrinkToFit="0" vertical="center" wrapText="1"/>
    </xf>
    <xf borderId="3" fillId="5" fontId="3" numFmtId="1" xfId="0" applyAlignment="1" applyBorder="1" applyFill="1" applyFont="1" applyNumberFormat="1">
      <alignment horizontal="center" shrinkToFit="0" vertical="center" wrapText="1"/>
    </xf>
    <xf borderId="3" fillId="5" fontId="3" numFmtId="165" xfId="0" applyAlignment="1" applyBorder="1" applyFill="1" applyFont="1" applyNumberFormat="1">
      <alignment horizontal="center" shrinkToFit="0" vertical="center" wrapText="1"/>
    </xf>
    <xf borderId="3" fillId="5" fontId="3" numFmtId="164" xfId="0" applyAlignment="1" applyBorder="1" applyFill="1" applyFont="1" applyNumberFormat="1">
      <alignment horizontal="center" shrinkToFit="0" vertical="center" wrapText="1"/>
    </xf>
    <xf borderId="1" fillId="2" fontId="6" numFmtId="0" xfId="0" applyBorder="1" applyFill="1" applyFont="1"/>
    <xf borderId="3" fillId="0" fontId="10" numFmtId="0" xfId="0" applyAlignment="1" applyBorder="1" applyFont="1">
      <alignment shrinkToFit="0" vertical="top" wrapText="1"/>
    </xf>
    <xf borderId="5" fillId="2" fontId="11" numFmtId="0" xfId="0" applyBorder="1" applyFill="1" applyFont="1"/>
    <xf borderId="6" fillId="0" fontId="7" numFmtId="0" xfId="0" applyBorder="1" applyFont="1"/>
    <xf borderId="7" fillId="0" fontId="7" numFmtId="0" xfId="0" applyBorder="1" applyFont="1"/>
    <xf borderId="3" fillId="0" fontId="3" numFmtId="0" xfId="0" applyAlignment="1" applyBorder="1" applyFont="1">
      <alignment shrinkToFit="0" vertical="top" wrapText="1"/>
    </xf>
    <xf borderId="5" fillId="0" fontId="5" numFmtId="0" xfId="0" applyAlignment="1" applyBorder="1" applyFont="1">
      <alignment shrinkToFit="0" vertical="top" wrapText="1"/>
    </xf>
    <xf borderId="8" fillId="0" fontId="7" numFmtId="0" xfId="0" applyBorder="1" applyFont="1"/>
    <xf borderId="0" fillId="0" fontId="12" numFmtId="0" xfId="0" applyFont="1"/>
  </cellXfs>
  <cellStyles count="1">
    <cellStyle xfId="0" name="Normal" builtinId="0"/>
  </cellStyles>
  <dxfs count="3">
    <dxf>
      <font>
        <sz val="10.0"/>
        <color rgb="FF006100"/>
        <name val="Arial"/>
      </font>
      <fill>
        <patternFill patternType="solid">
          <fgColor rgb="FFC6EFCE"/>
          <bgColor rgb="FFC6EFCE"/>
        </patternFill>
      </fill>
      <border/>
    </dxf>
    <dxf>
      <font>
        <sz val="10.0"/>
        <color rgb="FF9C0006"/>
        <name val="Arial"/>
      </font>
      <fill>
        <patternFill patternType="solid">
          <fgColor rgb="FFFFC7CE"/>
          <bgColor rgb="FFFFC7CE"/>
        </patternFill>
      </fill>
      <border/>
    </dxf>
    <dxf>
      <font>
        <sz val="10.0"/>
        <color rgb="FF9C6500"/>
        <name val="Arial"/>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B4D"/>
    <pageSetUpPr/>
  </sheetPr>
  <sheetViews>
    <sheetView showGridLines="0" workbookViewId="0"/>
  </sheetViews>
  <sheetFormatPr customHeight="1" defaultColWidth="14.43" defaultRowHeight="15.0"/>
  <cols>
    <col customWidth="1" min="1" max="1" width="3.0"/>
    <col customWidth="1" min="2" max="2" width="34.0"/>
    <col customWidth="1" min="3" max="8" width="17.0"/>
    <col customWidth="1" min="9" max="26" width="8.71"/>
  </cols>
  <sheetData>
    <row r="1" ht="14.25" customHeight="1"/>
    <row r="2" ht="14.25" customHeight="1">
      <c r="B2" s="1" t="s">
        <v>1</v>
      </c>
    </row>
    <row r="3" ht="14.25" customHeight="1"/>
    <row r="4" ht="14.25" customHeight="1"/>
    <row r="5" ht="15.0" customHeight="1">
      <c r="B5" s="3" t="s">
        <v>3</v>
      </c>
      <c r="C5" s="5" t="s">
        <v>4</v>
      </c>
    </row>
    <row r="6" ht="15.0" customHeight="1">
      <c r="B6" s="3" t="s">
        <v>8</v>
      </c>
      <c r="C6" s="5" t="s">
        <v>9</v>
      </c>
    </row>
    <row r="7" ht="15.0" customHeight="1">
      <c r="B7" s="3" t="s">
        <v>10</v>
      </c>
      <c r="C7" s="5" t="s">
        <v>11</v>
      </c>
    </row>
    <row r="8" ht="30.0" customHeight="1">
      <c r="B8" s="3" t="s">
        <v>12</v>
      </c>
      <c r="C8" s="5" t="s">
        <v>13</v>
      </c>
    </row>
    <row r="9" ht="15.0" customHeight="1">
      <c r="B9" s="3" t="s">
        <v>14</v>
      </c>
      <c r="C9" s="5" t="s">
        <v>15</v>
      </c>
    </row>
    <row r="10" ht="15.0" customHeight="1">
      <c r="B10" s="3" t="s">
        <v>16</v>
      </c>
      <c r="C10" s="5" t="s">
        <v>17</v>
      </c>
    </row>
    <row r="11" ht="15.0" customHeight="1">
      <c r="B11" s="3" t="s">
        <v>18</v>
      </c>
      <c r="C11" s="5" t="s">
        <v>19</v>
      </c>
    </row>
    <row r="12" ht="45.0" customHeight="1">
      <c r="B12" s="3" t="s">
        <v>20</v>
      </c>
      <c r="C12" s="5" t="s">
        <v>21</v>
      </c>
    </row>
    <row r="13" ht="45.0" customHeight="1">
      <c r="B13" s="3" t="s">
        <v>22</v>
      </c>
      <c r="C13" s="5" t="s">
        <v>23</v>
      </c>
    </row>
    <row r="14" ht="45.0" customHeight="1">
      <c r="B14" s="3" t="s">
        <v>24</v>
      </c>
      <c r="C14" s="5" t="s">
        <v>25</v>
      </c>
    </row>
    <row r="15" ht="14.25" customHeight="1"/>
    <row r="16" ht="14.25" customHeight="1">
      <c r="B16" s="10" t="s">
        <v>26</v>
      </c>
    </row>
    <row r="17" ht="27.75" customHeight="1">
      <c r="B17" s="5" t="s">
        <v>50</v>
      </c>
    </row>
    <row r="18" ht="27.75" customHeight="1">
      <c r="B18" s="5" t="s">
        <v>54</v>
      </c>
    </row>
    <row r="19" ht="27.75" customHeight="1">
      <c r="B19" s="5" t="s">
        <v>58</v>
      </c>
    </row>
    <row r="20" ht="27.75" customHeight="1">
      <c r="B20" s="5" t="s">
        <v>59</v>
      </c>
    </row>
    <row r="21" ht="27.75" customHeight="1">
      <c r="B21" s="5" t="s">
        <v>61</v>
      </c>
    </row>
    <row r="22" ht="15.0" customHeight="1">
      <c r="B22" s="5" t="s">
        <v>62</v>
      </c>
    </row>
    <row r="23" ht="14.25" customHeight="1"/>
    <row r="24" ht="14.25" customHeight="1">
      <c r="B24" s="10" t="s">
        <v>63</v>
      </c>
    </row>
    <row r="25" ht="15.0" customHeight="1">
      <c r="B25" s="5" t="s">
        <v>64</v>
      </c>
    </row>
    <row r="26" ht="27.75" customHeight="1">
      <c r="B26" s="5" t="s">
        <v>66</v>
      </c>
    </row>
    <row r="27" ht="27.75" customHeight="1">
      <c r="B27" s="5" t="s">
        <v>69</v>
      </c>
    </row>
    <row r="28" ht="27.75" customHeight="1">
      <c r="B28" s="5" t="s">
        <v>72</v>
      </c>
    </row>
    <row r="29" ht="15.0" customHeight="1">
      <c r="B29" s="5" t="s">
        <v>74</v>
      </c>
    </row>
    <row r="30" ht="15.0" customHeight="1">
      <c r="B30" s="5" t="s">
        <v>76</v>
      </c>
    </row>
    <row r="31" ht="15.0" customHeight="1">
      <c r="B31" s="5" t="s">
        <v>77</v>
      </c>
    </row>
    <row r="32" ht="27.75" customHeight="1">
      <c r="B32" s="5" t="s">
        <v>78</v>
      </c>
    </row>
    <row r="33" ht="14.25" customHeight="1"/>
    <row r="34" ht="14.25" customHeight="1">
      <c r="B34" s="10" t="s">
        <v>79</v>
      </c>
    </row>
    <row r="35" ht="14.25" customHeight="1">
      <c r="B35" s="13" t="s">
        <v>80</v>
      </c>
      <c r="C35" s="14" t="s">
        <v>82</v>
      </c>
    </row>
    <row r="36" ht="14.25" customHeight="1">
      <c r="B36" s="16" t="s">
        <v>84</v>
      </c>
      <c r="C36" s="14" t="s">
        <v>89</v>
      </c>
    </row>
    <row r="37" ht="14.25" customHeight="1">
      <c r="B37" s="18" t="s">
        <v>90</v>
      </c>
      <c r="C37" s="14" t="s">
        <v>92</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
    <mergeCell ref="C5:H5"/>
    <mergeCell ref="C6:H6"/>
    <mergeCell ref="C7:H7"/>
    <mergeCell ref="C8:H8"/>
    <mergeCell ref="C9:H9"/>
    <mergeCell ref="C10:H10"/>
    <mergeCell ref="C11:H11"/>
    <mergeCell ref="C12:H12"/>
    <mergeCell ref="C13:H13"/>
    <mergeCell ref="C14:H14"/>
    <mergeCell ref="B17:H17"/>
    <mergeCell ref="B18:H18"/>
    <mergeCell ref="B19:H19"/>
    <mergeCell ref="B20:H20"/>
    <mergeCell ref="B30:H30"/>
    <mergeCell ref="B31:H31"/>
    <mergeCell ref="B32:H32"/>
    <mergeCell ref="B21:H21"/>
    <mergeCell ref="B22:H22"/>
    <mergeCell ref="B25:H25"/>
    <mergeCell ref="B26:H26"/>
    <mergeCell ref="B27:H27"/>
    <mergeCell ref="B28:H28"/>
    <mergeCell ref="B29:H2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B4D"/>
    <pageSetUpPr/>
  </sheetPr>
  <sheetViews>
    <sheetView showGridLines="0" workbookViewId="0"/>
  </sheetViews>
  <sheetFormatPr customHeight="1" defaultColWidth="14.43" defaultRowHeight="15.0"/>
  <cols>
    <col customWidth="1" min="1" max="1" width="3.0"/>
    <col customWidth="1" min="2" max="2" width="30.0"/>
    <col customWidth="1" min="3" max="17" width="11.0"/>
    <col customWidth="1" min="18" max="26" width="8.71"/>
  </cols>
  <sheetData>
    <row r="1" ht="14.25" customHeight="1"/>
    <row r="2" ht="14.25" customHeight="1">
      <c r="B2" s="2" t="s">
        <v>0</v>
      </c>
    </row>
    <row r="3" ht="14.25" customHeight="1">
      <c r="B3" s="4" t="s">
        <v>5</v>
      </c>
    </row>
    <row r="4" ht="14.25" customHeight="1"/>
    <row r="5" ht="27.75" customHeight="1">
      <c r="B5" s="8" t="s">
        <v>7</v>
      </c>
      <c r="C5" s="8" t="s">
        <v>27</v>
      </c>
      <c r="D5" s="8" t="s">
        <v>28</v>
      </c>
      <c r="E5" s="8" t="s">
        <v>29</v>
      </c>
      <c r="F5" s="8" t="s">
        <v>30</v>
      </c>
      <c r="G5" s="8" t="s">
        <v>31</v>
      </c>
      <c r="H5" s="8" t="s">
        <v>33</v>
      </c>
      <c r="I5" s="8" t="s">
        <v>34</v>
      </c>
      <c r="J5" s="8" t="s">
        <v>35</v>
      </c>
      <c r="K5" s="8" t="s">
        <v>38</v>
      </c>
      <c r="L5" s="8" t="s">
        <v>40</v>
      </c>
      <c r="M5" s="8" t="s">
        <v>43</v>
      </c>
      <c r="N5" s="8" t="s">
        <v>45</v>
      </c>
      <c r="O5" s="8" t="s">
        <v>47</v>
      </c>
      <c r="P5" s="8" t="s">
        <v>48</v>
      </c>
      <c r="Q5" s="8" t="s">
        <v>49</v>
      </c>
    </row>
    <row r="6" ht="14.25" customHeight="1">
      <c r="B6" s="11" t="s">
        <v>52</v>
      </c>
      <c r="C6" s="20">
        <f>COUNTA('01 Global &amp; Navigation'!$A$3:$A$62)</f>
        <v>60</v>
      </c>
      <c r="D6" s="20">
        <f>COUNTIF('01 Global &amp; Navigation'!$I$3:$I$62,"P1")</f>
        <v>31</v>
      </c>
      <c r="E6" s="20">
        <f>COUNTIF('01 Global &amp; Navigation'!$I$3:$I$62,"P2")</f>
        <v>26</v>
      </c>
      <c r="F6" s="20">
        <f>COUNTIF('01 Global &amp; Navigation'!$I$3:$I$62,"P3")</f>
        <v>3</v>
      </c>
      <c r="G6" s="20">
        <f>COUNTIF('01 Global &amp; Navigation'!$D$3:$D$62,"Web")</f>
        <v>44</v>
      </c>
      <c r="H6" s="20">
        <f>COUNTIF('01 Global &amp; Navigation'!$D$3:$D$62,"iOS")</f>
        <v>15</v>
      </c>
      <c r="I6" s="20">
        <f>COUNTIF('01 Global &amp; Navigation'!$D$3:$D$62,"Web + iOS")</f>
        <v>1</v>
      </c>
      <c r="J6" s="20">
        <f>SUM('01 Global &amp; Navigation'!$K$3:$K$62)</f>
        <v>1061</v>
      </c>
      <c r="K6" s="22">
        <f t="shared" ref="K6:K22" si="1">J6/60</f>
        <v>17.68333333</v>
      </c>
      <c r="L6" s="20">
        <f>COUNTIF('01 Global &amp; Navigation'!$L$3:$L$62,"Pass")</f>
        <v>0</v>
      </c>
      <c r="M6" s="20">
        <f>COUNTIF('01 Global &amp; Navigation'!$L$3:$L$62,"Fail")</f>
        <v>0</v>
      </c>
      <c r="N6" s="20">
        <f>COUNTIF('01 Global &amp; Navigation'!$L$3:$L$62,"Blocked")</f>
        <v>0</v>
      </c>
      <c r="O6" s="20">
        <f>COUNTIF('01 Global &amp; Navigation'!$L$3:$L$62,"Not Run")</f>
        <v>60</v>
      </c>
      <c r="P6" s="23">
        <f t="shared" ref="P6:P23" si="2">IFERROR((L6+M6+N6)/C6,0)</f>
        <v>0</v>
      </c>
      <c r="Q6" s="23">
        <f t="shared" ref="Q6:Q23" si="3">IFERROR(L6/(L6+M6+N6),0)</f>
        <v>0</v>
      </c>
    </row>
    <row r="7" ht="14.25" customHeight="1">
      <c r="B7" s="21" t="s">
        <v>65</v>
      </c>
      <c r="C7" s="24">
        <f>COUNTA('02 Maps'!$A$3:$A$63)</f>
        <v>61</v>
      </c>
      <c r="D7" s="24">
        <f>COUNTIF('02 Maps'!$I$3:$I$63,"P1")</f>
        <v>27</v>
      </c>
      <c r="E7" s="24">
        <f>COUNTIF('02 Maps'!$I$3:$I$63,"P2")</f>
        <v>28</v>
      </c>
      <c r="F7" s="24">
        <f>COUNTIF('02 Maps'!$I$3:$I$63,"P3")</f>
        <v>6</v>
      </c>
      <c r="G7" s="24">
        <f>COUNTIF('02 Maps'!$D$3:$D$63,"Web")</f>
        <v>44</v>
      </c>
      <c r="H7" s="24">
        <f>COUNTIF('02 Maps'!$D$3:$D$63,"iOS")</f>
        <v>17</v>
      </c>
      <c r="I7" s="24">
        <f>COUNTIF('02 Maps'!$D$3:$D$63,"Web + iOS")</f>
        <v>0</v>
      </c>
      <c r="J7" s="24">
        <f>SUM('02 Maps'!$K$3:$K$63)</f>
        <v>1157</v>
      </c>
      <c r="K7" s="25">
        <f t="shared" si="1"/>
        <v>19.28333333</v>
      </c>
      <c r="L7" s="24">
        <f>COUNTIF('02 Maps'!$L$3:$L$63,"Pass")</f>
        <v>0</v>
      </c>
      <c r="M7" s="24">
        <f>COUNTIF('02 Maps'!$L$3:$L$63,"Fail")</f>
        <v>0</v>
      </c>
      <c r="N7" s="24">
        <f>COUNTIF('02 Maps'!$L$3:$L$63,"Blocked")</f>
        <v>0</v>
      </c>
      <c r="O7" s="24">
        <f>COUNTIF('02 Maps'!$L$3:$L$63,"Not Run")</f>
        <v>61</v>
      </c>
      <c r="P7" s="26">
        <f t="shared" si="2"/>
        <v>0</v>
      </c>
      <c r="Q7" s="26">
        <f t="shared" si="3"/>
        <v>0</v>
      </c>
    </row>
    <row r="8" ht="14.25" customHeight="1">
      <c r="B8" s="11" t="s">
        <v>276</v>
      </c>
      <c r="C8" s="20">
        <f>COUNTA('03 Planning'!$A$3:$A$43)</f>
        <v>41</v>
      </c>
      <c r="D8" s="20">
        <f>COUNTIF('03 Planning'!$I$3:$I$43,"P1")</f>
        <v>26</v>
      </c>
      <c r="E8" s="20">
        <f>COUNTIF('03 Planning'!$I$3:$I$43,"P2")</f>
        <v>14</v>
      </c>
      <c r="F8" s="20">
        <f>COUNTIF('03 Planning'!$I$3:$I$43,"P3")</f>
        <v>1</v>
      </c>
      <c r="G8" s="20">
        <f>COUNTIF('03 Planning'!$D$3:$D$43,"Web")</f>
        <v>41</v>
      </c>
      <c r="H8" s="20">
        <f>COUNTIF('03 Planning'!$D$3:$D$43,"iOS")</f>
        <v>0</v>
      </c>
      <c r="I8" s="20">
        <f>COUNTIF('03 Planning'!$D$3:$D$43,"Web + iOS")</f>
        <v>0</v>
      </c>
      <c r="J8" s="20">
        <f>SUM('03 Planning'!$K$3:$K$43)</f>
        <v>828</v>
      </c>
      <c r="K8" s="22">
        <f t="shared" si="1"/>
        <v>13.8</v>
      </c>
      <c r="L8" s="20">
        <f>COUNTIF('03 Planning'!$L$3:$L$43,"Pass")</f>
        <v>0</v>
      </c>
      <c r="M8" s="20">
        <f>COUNTIF('03 Planning'!$L$3:$L$43,"Fail")</f>
        <v>0</v>
      </c>
      <c r="N8" s="20">
        <f>COUNTIF('03 Planning'!$L$3:$L$43,"Blocked")</f>
        <v>0</v>
      </c>
      <c r="O8" s="20">
        <f>COUNTIF('03 Planning'!$L$3:$L$43,"Not Run")</f>
        <v>41</v>
      </c>
      <c r="P8" s="23">
        <f t="shared" si="2"/>
        <v>0</v>
      </c>
      <c r="Q8" s="23">
        <f t="shared" si="3"/>
        <v>0</v>
      </c>
    </row>
    <row r="9" ht="14.25" customHeight="1">
      <c r="B9" s="21" t="s">
        <v>367</v>
      </c>
      <c r="C9" s="24">
        <f>COUNTA('04 WO - Planned'!$A$3:$A$97)</f>
        <v>95</v>
      </c>
      <c r="D9" s="24">
        <f>COUNTIF('04 WO - Planned'!$I$3:$I$97,"P1")</f>
        <v>66</v>
      </c>
      <c r="E9" s="24">
        <f>COUNTIF('04 WO - Planned'!$I$3:$I$97,"P2")</f>
        <v>28</v>
      </c>
      <c r="F9" s="24">
        <f>COUNTIF('04 WO - Planned'!$I$3:$I$97,"P3")</f>
        <v>1</v>
      </c>
      <c r="G9" s="24">
        <f>COUNTIF('04 WO - Planned'!$D$3:$D$97,"Web")</f>
        <v>77</v>
      </c>
      <c r="H9" s="24">
        <f>COUNTIF('04 WO - Planned'!$D$3:$D$97,"iOS")</f>
        <v>13</v>
      </c>
      <c r="I9" s="24">
        <f>COUNTIF('04 WO - Planned'!$D$3:$D$97,"Web + iOS")</f>
        <v>5</v>
      </c>
      <c r="J9" s="24">
        <f>SUM('04 WO - Planned'!$K$3:$K$97)</f>
        <v>2176</v>
      </c>
      <c r="K9" s="25">
        <f t="shared" si="1"/>
        <v>36.26666667</v>
      </c>
      <c r="L9" s="24">
        <f>COUNTIF('04 WO - Planned'!$L$3:$L$97,"Pass")</f>
        <v>0</v>
      </c>
      <c r="M9" s="24">
        <f>COUNTIF('04 WO - Planned'!$L$3:$L$97,"Fail")</f>
        <v>0</v>
      </c>
      <c r="N9" s="24">
        <f>COUNTIF('04 WO - Planned'!$L$3:$L$97,"Blocked")</f>
        <v>0</v>
      </c>
      <c r="O9" s="24">
        <f>COUNTIF('04 WO - Planned'!$L$3:$L$97,"Not Run")</f>
        <v>95</v>
      </c>
      <c r="P9" s="26">
        <f t="shared" si="2"/>
        <v>0</v>
      </c>
      <c r="Q9" s="26">
        <f t="shared" si="3"/>
        <v>0</v>
      </c>
    </row>
    <row r="10" ht="14.25" customHeight="1">
      <c r="B10" s="11" t="s">
        <v>387</v>
      </c>
      <c r="C10" s="20">
        <f>COUNTA('05 WO - Inspection'!$A$3:$A$47)</f>
        <v>45</v>
      </c>
      <c r="D10" s="20">
        <f>COUNTIF('05 WO - Inspection'!$I$3:$I$47,"P1")</f>
        <v>35</v>
      </c>
      <c r="E10" s="20">
        <f>COUNTIF('05 WO - Inspection'!$I$3:$I$47,"P2")</f>
        <v>10</v>
      </c>
      <c r="F10" s="20">
        <f>COUNTIF('05 WO - Inspection'!$I$3:$I$47,"P3")</f>
        <v>0</v>
      </c>
      <c r="G10" s="20">
        <f>COUNTIF('05 WO - Inspection'!$D$3:$D$47,"Web")</f>
        <v>20</v>
      </c>
      <c r="H10" s="20">
        <f>COUNTIF('05 WO - Inspection'!$D$3:$D$47,"iOS")</f>
        <v>20</v>
      </c>
      <c r="I10" s="20">
        <f>COUNTIF('05 WO - Inspection'!$D$3:$D$47,"Web + iOS")</f>
        <v>5</v>
      </c>
      <c r="J10" s="20">
        <f>SUM('05 WO - Inspection'!$K$3:$K$47)</f>
        <v>1110</v>
      </c>
      <c r="K10" s="22">
        <f t="shared" si="1"/>
        <v>18.5</v>
      </c>
      <c r="L10" s="20">
        <f>COUNTIF('05 WO - Inspection'!$L$3:$L$47,"Pass")</f>
        <v>0</v>
      </c>
      <c r="M10" s="20">
        <f>COUNTIF('05 WO - Inspection'!$L$3:$L$47,"Fail")</f>
        <v>0</v>
      </c>
      <c r="N10" s="20">
        <f>COUNTIF('05 WO - Inspection'!$L$3:$L$47,"Blocked")</f>
        <v>0</v>
      </c>
      <c r="O10" s="20">
        <f>COUNTIF('05 WO - Inspection'!$L$3:$L$47,"Not Run")</f>
        <v>45</v>
      </c>
      <c r="P10" s="23">
        <f t="shared" si="2"/>
        <v>0</v>
      </c>
      <c r="Q10" s="23">
        <f t="shared" si="3"/>
        <v>0</v>
      </c>
    </row>
    <row r="11" ht="14.25" customHeight="1">
      <c r="B11" s="21" t="s">
        <v>450</v>
      </c>
      <c r="C11" s="24">
        <f>COUNTA('06 WO - Observations'!$A$3:$A$41)</f>
        <v>39</v>
      </c>
      <c r="D11" s="24">
        <f>COUNTIF('06 WO - Observations'!$I$3:$I$41,"P1")</f>
        <v>30</v>
      </c>
      <c r="E11" s="24">
        <f>COUNTIF('06 WO - Observations'!$I$3:$I$41,"P2")</f>
        <v>9</v>
      </c>
      <c r="F11" s="24">
        <f>COUNTIF('06 WO - Observations'!$I$3:$I$41,"P3")</f>
        <v>0</v>
      </c>
      <c r="G11" s="24">
        <f>COUNTIF('06 WO - Observations'!$D$3:$D$41,"Web")</f>
        <v>13</v>
      </c>
      <c r="H11" s="24">
        <f>COUNTIF('06 WO - Observations'!$D$3:$D$41,"iOS")</f>
        <v>22</v>
      </c>
      <c r="I11" s="24">
        <f>COUNTIF('06 WO - Observations'!$D$3:$D$41,"Web + iOS")</f>
        <v>4</v>
      </c>
      <c r="J11" s="24">
        <f>SUM('06 WO - Observations'!$K$3:$K$41)</f>
        <v>829</v>
      </c>
      <c r="K11" s="25">
        <f t="shared" si="1"/>
        <v>13.81666667</v>
      </c>
      <c r="L11" s="24">
        <f>COUNTIF('06 WO - Observations'!$L$3:$L$41,"Pass")</f>
        <v>0</v>
      </c>
      <c r="M11" s="24">
        <f>COUNTIF('06 WO - Observations'!$L$3:$L$41,"Fail")</f>
        <v>0</v>
      </c>
      <c r="N11" s="24">
        <f>COUNTIF('06 WO - Observations'!$L$3:$L$41,"Blocked")</f>
        <v>0</v>
      </c>
      <c r="O11" s="24">
        <f>COUNTIF('06 WO - Observations'!$L$3:$L$41,"Not Run")</f>
        <v>39</v>
      </c>
      <c r="P11" s="26">
        <f t="shared" si="2"/>
        <v>0</v>
      </c>
      <c r="Q11" s="26">
        <f t="shared" si="3"/>
        <v>0</v>
      </c>
    </row>
    <row r="12" ht="14.25" customHeight="1">
      <c r="B12" s="11" t="s">
        <v>515</v>
      </c>
      <c r="C12" s="20">
        <f>COUNTA('07 WO - Harvest'!$A$3:$A$30)</f>
        <v>28</v>
      </c>
      <c r="D12" s="20">
        <f>COUNTIF('07 WO - Harvest'!$I$3:$I$30,"P1")</f>
        <v>24</v>
      </c>
      <c r="E12" s="20">
        <f>COUNTIF('07 WO - Harvest'!$I$3:$I$30,"P2")</f>
        <v>4</v>
      </c>
      <c r="F12" s="20">
        <f>COUNTIF('07 WO - Harvest'!$I$3:$I$30,"P3")</f>
        <v>0</v>
      </c>
      <c r="G12" s="20">
        <f>COUNTIF('07 WO - Harvest'!$D$3:$D$30,"Web")</f>
        <v>8</v>
      </c>
      <c r="H12" s="20">
        <f>COUNTIF('07 WO - Harvest'!$D$3:$D$30,"iOS")</f>
        <v>19</v>
      </c>
      <c r="I12" s="20">
        <f>COUNTIF('07 WO - Harvest'!$D$3:$D$30,"Web + iOS")</f>
        <v>1</v>
      </c>
      <c r="J12" s="20">
        <f>SUM('07 WO - Harvest'!$K$3:$K$30)</f>
        <v>755</v>
      </c>
      <c r="K12" s="22">
        <f t="shared" si="1"/>
        <v>12.58333333</v>
      </c>
      <c r="L12" s="20">
        <f>COUNTIF('07 WO - Harvest'!$L$3:$L$30,"Pass")</f>
        <v>0</v>
      </c>
      <c r="M12" s="20">
        <f>COUNTIF('07 WO - Harvest'!$L$3:$L$30,"Fail")</f>
        <v>0</v>
      </c>
      <c r="N12" s="20">
        <f>COUNTIF('07 WO - Harvest'!$L$3:$L$30,"Blocked")</f>
        <v>0</v>
      </c>
      <c r="O12" s="20">
        <f>COUNTIF('07 WO - Harvest'!$L$3:$L$30,"Not Run")</f>
        <v>28</v>
      </c>
      <c r="P12" s="23">
        <f t="shared" si="2"/>
        <v>0</v>
      </c>
      <c r="Q12" s="23">
        <f t="shared" si="3"/>
        <v>0</v>
      </c>
    </row>
    <row r="13" ht="14.25" customHeight="1">
      <c r="B13" s="21" t="s">
        <v>580</v>
      </c>
      <c r="C13" s="24">
        <f>COUNTA('08 Harvest Central'!$A$3:$A$49)</f>
        <v>47</v>
      </c>
      <c r="D13" s="24">
        <f>COUNTIF('08 Harvest Central'!$I$3:$I$49,"P1")</f>
        <v>25</v>
      </c>
      <c r="E13" s="24">
        <f>COUNTIF('08 Harvest Central'!$I$3:$I$49,"P2")</f>
        <v>22</v>
      </c>
      <c r="F13" s="24">
        <f>COUNTIF('08 Harvest Central'!$I$3:$I$49,"P3")</f>
        <v>0</v>
      </c>
      <c r="G13" s="24">
        <f>COUNTIF('08 Harvest Central'!$D$3:$D$49,"Web")</f>
        <v>45</v>
      </c>
      <c r="H13" s="24">
        <f>COUNTIF('08 Harvest Central'!$D$3:$D$49,"iOS")</f>
        <v>0</v>
      </c>
      <c r="I13" s="24">
        <f>COUNTIF('08 Harvest Central'!$D$3:$D$49,"Web + iOS")</f>
        <v>2</v>
      </c>
      <c r="J13" s="24">
        <f>SUM('08 Harvest Central'!$K$3:$K$49)</f>
        <v>957</v>
      </c>
      <c r="K13" s="25">
        <f t="shared" si="1"/>
        <v>15.95</v>
      </c>
      <c r="L13" s="24">
        <f>COUNTIF('08 Harvest Central'!$L$3:$L$49,"Pass")</f>
        <v>0</v>
      </c>
      <c r="M13" s="24">
        <f>COUNTIF('08 Harvest Central'!$L$3:$L$49,"Fail")</f>
        <v>0</v>
      </c>
      <c r="N13" s="24">
        <f>COUNTIF('08 Harvest Central'!$L$3:$L$49,"Blocked")</f>
        <v>0</v>
      </c>
      <c r="O13" s="24">
        <f>COUNTIF('08 Harvest Central'!$L$3:$L$49,"Not Run")</f>
        <v>47</v>
      </c>
      <c r="P13" s="26">
        <f t="shared" si="2"/>
        <v>0</v>
      </c>
      <c r="Q13" s="26">
        <f t="shared" si="3"/>
        <v>0</v>
      </c>
    </row>
    <row r="14" ht="14.25" customHeight="1">
      <c r="B14" s="11" t="s">
        <v>642</v>
      </c>
      <c r="C14" s="20">
        <f>COUNTA('09 Template Management'!$A$3:$A$77)</f>
        <v>75</v>
      </c>
      <c r="D14" s="20">
        <f>COUNTIF('09 Template Management'!$I$3:$I$77,"P1")</f>
        <v>37</v>
      </c>
      <c r="E14" s="20">
        <f>COUNTIF('09 Template Management'!$I$3:$I$77,"P2")</f>
        <v>36</v>
      </c>
      <c r="F14" s="20">
        <f>COUNTIF('09 Template Management'!$I$3:$I$77,"P3")</f>
        <v>2</v>
      </c>
      <c r="G14" s="20">
        <f>COUNTIF('09 Template Management'!$D$3:$D$77,"Web")</f>
        <v>73</v>
      </c>
      <c r="H14" s="20">
        <f>COUNTIF('09 Template Management'!$D$3:$D$77,"iOS")</f>
        <v>0</v>
      </c>
      <c r="I14" s="20">
        <f>COUNTIF('09 Template Management'!$D$3:$D$77,"Web + iOS")</f>
        <v>2</v>
      </c>
      <c r="J14" s="20">
        <f>SUM('09 Template Management'!$K$3:$K$77)</f>
        <v>1495</v>
      </c>
      <c r="K14" s="22">
        <f t="shared" si="1"/>
        <v>24.91666667</v>
      </c>
      <c r="L14" s="20">
        <f>COUNTIF('09 Template Management'!$L$3:$L$77,"Pass")</f>
        <v>0</v>
      </c>
      <c r="M14" s="20">
        <f>COUNTIF('09 Template Management'!$L$3:$L$77,"Fail")</f>
        <v>0</v>
      </c>
      <c r="N14" s="20">
        <f>COUNTIF('09 Template Management'!$L$3:$L$77,"Blocked")</f>
        <v>0</v>
      </c>
      <c r="O14" s="20">
        <f>COUNTIF('09 Template Management'!$L$3:$L$77,"Not Run")</f>
        <v>75</v>
      </c>
      <c r="P14" s="23">
        <f t="shared" si="2"/>
        <v>0</v>
      </c>
      <c r="Q14" s="23">
        <f t="shared" si="3"/>
        <v>0</v>
      </c>
    </row>
    <row r="15" ht="14.25" customHeight="1">
      <c r="B15" s="21" t="s">
        <v>713</v>
      </c>
      <c r="C15" s="24">
        <f>COUNTA('10 Communication Center'!$A$3:$A$57)</f>
        <v>55</v>
      </c>
      <c r="D15" s="24">
        <f>COUNTIF('10 Communication Center'!$I$3:$I$57,"P1")</f>
        <v>23</v>
      </c>
      <c r="E15" s="24">
        <f>COUNTIF('10 Communication Center'!$I$3:$I$57,"P2")</f>
        <v>30</v>
      </c>
      <c r="F15" s="24">
        <f>COUNTIF('10 Communication Center'!$I$3:$I$57,"P3")</f>
        <v>2</v>
      </c>
      <c r="G15" s="24">
        <f>COUNTIF('10 Communication Center'!$D$3:$D$57,"Web")</f>
        <v>50</v>
      </c>
      <c r="H15" s="24">
        <f>COUNTIF('10 Communication Center'!$D$3:$D$57,"iOS")</f>
        <v>1</v>
      </c>
      <c r="I15" s="24">
        <f>COUNTIF('10 Communication Center'!$D$3:$D$57,"Web + iOS")</f>
        <v>4</v>
      </c>
      <c r="J15" s="24">
        <f>SUM('10 Communication Center'!$K$3:$K$57)</f>
        <v>1204</v>
      </c>
      <c r="K15" s="25">
        <f t="shared" si="1"/>
        <v>20.06666667</v>
      </c>
      <c r="L15" s="24">
        <f>COUNTIF('10 Communication Center'!$L$3:$L$57,"Pass")</f>
        <v>0</v>
      </c>
      <c r="M15" s="24">
        <f>COUNTIF('10 Communication Center'!$L$3:$L$57,"Fail")</f>
        <v>0</v>
      </c>
      <c r="N15" s="24">
        <f>COUNTIF('10 Communication Center'!$L$3:$L$57,"Blocked")</f>
        <v>0</v>
      </c>
      <c r="O15" s="24">
        <f>COUNTIF('10 Communication Center'!$L$3:$L$57,"Not Run")</f>
        <v>55</v>
      </c>
      <c r="P15" s="26">
        <f t="shared" si="2"/>
        <v>0</v>
      </c>
      <c r="Q15" s="26">
        <f t="shared" si="3"/>
        <v>0</v>
      </c>
    </row>
    <row r="16" ht="14.25" customHeight="1">
      <c r="B16" s="11" t="s">
        <v>769</v>
      </c>
      <c r="C16" s="20">
        <f>COUNTA('11 Settings'!$A$3:$A$42)</f>
        <v>40</v>
      </c>
      <c r="D16" s="20">
        <f>COUNTIF('11 Settings'!$I$3:$I$42,"P1")</f>
        <v>18</v>
      </c>
      <c r="E16" s="20">
        <f>COUNTIF('11 Settings'!$I$3:$I$42,"P2")</f>
        <v>22</v>
      </c>
      <c r="F16" s="20">
        <f>COUNTIF('11 Settings'!$I$3:$I$42,"P3")</f>
        <v>0</v>
      </c>
      <c r="G16" s="20">
        <f>COUNTIF('11 Settings'!$D$3:$D$42,"Web")</f>
        <v>38</v>
      </c>
      <c r="H16" s="20">
        <f>COUNTIF('11 Settings'!$D$3:$D$42,"iOS")</f>
        <v>0</v>
      </c>
      <c r="I16" s="20">
        <f>COUNTIF('11 Settings'!$D$3:$D$42,"Web + iOS")</f>
        <v>2</v>
      </c>
      <c r="J16" s="20">
        <f>SUM('11 Settings'!$K$3:$K$42)</f>
        <v>840</v>
      </c>
      <c r="K16" s="22">
        <f t="shared" si="1"/>
        <v>14</v>
      </c>
      <c r="L16" s="20">
        <f>COUNTIF('11 Settings'!$L$3:$L$42,"Pass")</f>
        <v>0</v>
      </c>
      <c r="M16" s="20">
        <f>COUNTIF('11 Settings'!$L$3:$L$42,"Fail")</f>
        <v>0</v>
      </c>
      <c r="N16" s="20">
        <f>COUNTIF('11 Settings'!$L$3:$L$42,"Blocked")</f>
        <v>0</v>
      </c>
      <c r="O16" s="20">
        <f>COUNTIF('11 Settings'!$L$3:$L$42,"Not Run")</f>
        <v>40</v>
      </c>
      <c r="P16" s="23">
        <f t="shared" si="2"/>
        <v>0</v>
      </c>
      <c r="Q16" s="23">
        <f t="shared" si="3"/>
        <v>0</v>
      </c>
    </row>
    <row r="17" ht="14.25" customHeight="1">
      <c r="B17" s="21" t="s">
        <v>828</v>
      </c>
      <c r="C17" s="24">
        <f>COUNTA('12 Users, Roles &amp; Perms'!$A$3:$A$53)</f>
        <v>51</v>
      </c>
      <c r="D17" s="24">
        <f>COUNTIF('12 Users, Roles &amp; Perms'!$I$3:$I$53,"P1")</f>
        <v>37</v>
      </c>
      <c r="E17" s="24">
        <f>COUNTIF('12 Users, Roles &amp; Perms'!$I$3:$I$53,"P2")</f>
        <v>13</v>
      </c>
      <c r="F17" s="24">
        <f>COUNTIF('12 Users, Roles &amp; Perms'!$I$3:$I$53,"P3")</f>
        <v>1</v>
      </c>
      <c r="G17" s="24">
        <f>COUNTIF('12 Users, Roles &amp; Perms'!$D$3:$D$53,"Web")</f>
        <v>41</v>
      </c>
      <c r="H17" s="24">
        <f>COUNTIF('12 Users, Roles &amp; Perms'!$D$3:$D$53,"iOS")</f>
        <v>1</v>
      </c>
      <c r="I17" s="24">
        <f>COUNTIF('12 Users, Roles &amp; Perms'!$D$3:$D$53,"Web + iOS")</f>
        <v>9</v>
      </c>
      <c r="J17" s="24">
        <f>SUM('12 Users, Roles &amp; Perms'!$K$3:$K$53)</f>
        <v>1369</v>
      </c>
      <c r="K17" s="25">
        <f t="shared" si="1"/>
        <v>22.81666667</v>
      </c>
      <c r="L17" s="24">
        <f>COUNTIF('12 Users, Roles &amp; Perms'!$L$3:$L$53,"Pass")</f>
        <v>0</v>
      </c>
      <c r="M17" s="24">
        <f>COUNTIF('12 Users, Roles &amp; Perms'!$L$3:$L$53,"Fail")</f>
        <v>0</v>
      </c>
      <c r="N17" s="24">
        <f>COUNTIF('12 Users, Roles &amp; Perms'!$L$3:$L$53,"Blocked")</f>
        <v>0</v>
      </c>
      <c r="O17" s="24">
        <f>COUNTIF('12 Users, Roles &amp; Perms'!$L$3:$L$53,"Not Run")</f>
        <v>51</v>
      </c>
      <c r="P17" s="26">
        <f t="shared" si="2"/>
        <v>0</v>
      </c>
      <c r="Q17" s="26">
        <f t="shared" si="3"/>
        <v>0</v>
      </c>
    </row>
    <row r="18" ht="14.25" customHeight="1">
      <c r="B18" s="11" t="s">
        <v>888</v>
      </c>
      <c r="C18" s="20">
        <f>COUNTA('13 Sync Console &amp; D365'!$A$3:$A$27)</f>
        <v>25</v>
      </c>
      <c r="D18" s="20">
        <f>COUNTIF('13 Sync Console &amp; D365'!$I$3:$I$27,"P1")</f>
        <v>20</v>
      </c>
      <c r="E18" s="20">
        <f>COUNTIF('13 Sync Console &amp; D365'!$I$3:$I$27,"P2")</f>
        <v>5</v>
      </c>
      <c r="F18" s="20">
        <f>COUNTIF('13 Sync Console &amp; D365'!$I$3:$I$27,"P3")</f>
        <v>0</v>
      </c>
      <c r="G18" s="20">
        <f>COUNTIF('13 Sync Console &amp; D365'!$D$3:$D$27,"Web")</f>
        <v>24</v>
      </c>
      <c r="H18" s="20">
        <f>COUNTIF('13 Sync Console &amp; D365'!$D$3:$D$27,"iOS")</f>
        <v>0</v>
      </c>
      <c r="I18" s="20">
        <f>COUNTIF('13 Sync Console &amp; D365'!$D$3:$D$27,"Web + iOS")</f>
        <v>1</v>
      </c>
      <c r="J18" s="20">
        <f>SUM('13 Sync Console &amp; D365'!$K$3:$K$27)</f>
        <v>961</v>
      </c>
      <c r="K18" s="22">
        <f t="shared" si="1"/>
        <v>16.01666667</v>
      </c>
      <c r="L18" s="20">
        <f>COUNTIF('13 Sync Console &amp; D365'!$L$3:$L$27,"Pass")</f>
        <v>0</v>
      </c>
      <c r="M18" s="20">
        <f>COUNTIF('13 Sync Console &amp; D365'!$L$3:$L$27,"Fail")</f>
        <v>0</v>
      </c>
      <c r="N18" s="20">
        <f>COUNTIF('13 Sync Console &amp; D365'!$L$3:$L$27,"Blocked")</f>
        <v>0</v>
      </c>
      <c r="O18" s="20">
        <f>COUNTIF('13 Sync Console &amp; D365'!$L$3:$L$27,"Not Run")</f>
        <v>25</v>
      </c>
      <c r="P18" s="23">
        <f t="shared" si="2"/>
        <v>0</v>
      </c>
      <c r="Q18" s="23">
        <f t="shared" si="3"/>
        <v>0</v>
      </c>
    </row>
    <row r="19" ht="14.25" customHeight="1">
      <c r="B19" s="21" t="s">
        <v>899</v>
      </c>
      <c r="C19" s="24">
        <f>COUNTA('14 iOS Offline &amp; Sync'!$A$3:$A$31)</f>
        <v>29</v>
      </c>
      <c r="D19" s="24">
        <f>COUNTIF('14 iOS Offline &amp; Sync'!$I$3:$I$31,"P1")</f>
        <v>23</v>
      </c>
      <c r="E19" s="24">
        <f>COUNTIF('14 iOS Offline &amp; Sync'!$I$3:$I$31,"P2")</f>
        <v>6</v>
      </c>
      <c r="F19" s="24">
        <f>COUNTIF('14 iOS Offline &amp; Sync'!$I$3:$I$31,"P3")</f>
        <v>0</v>
      </c>
      <c r="G19" s="24">
        <f>COUNTIF('14 iOS Offline &amp; Sync'!$D$3:$D$31,"Web")</f>
        <v>0</v>
      </c>
      <c r="H19" s="24">
        <f>COUNTIF('14 iOS Offline &amp; Sync'!$D$3:$D$31,"iOS")</f>
        <v>29</v>
      </c>
      <c r="I19" s="24">
        <f>COUNTIF('14 iOS Offline &amp; Sync'!$D$3:$D$31,"Web + iOS")</f>
        <v>0</v>
      </c>
      <c r="J19" s="24">
        <f>SUM('14 iOS Offline &amp; Sync'!$K$3:$K$31)</f>
        <v>985</v>
      </c>
      <c r="K19" s="25">
        <f t="shared" si="1"/>
        <v>16.41666667</v>
      </c>
      <c r="L19" s="24">
        <f>COUNTIF('14 iOS Offline &amp; Sync'!$L$3:$L$31,"Pass")</f>
        <v>0</v>
      </c>
      <c r="M19" s="24">
        <f>COUNTIF('14 iOS Offline &amp; Sync'!$L$3:$L$31,"Fail")</f>
        <v>0</v>
      </c>
      <c r="N19" s="24">
        <f>COUNTIF('14 iOS Offline &amp; Sync'!$L$3:$L$31,"Blocked")</f>
        <v>0</v>
      </c>
      <c r="O19" s="24">
        <f>COUNTIF('14 iOS Offline &amp; Sync'!$L$3:$L$31,"Not Run")</f>
        <v>29</v>
      </c>
      <c r="P19" s="26">
        <f t="shared" si="2"/>
        <v>0</v>
      </c>
      <c r="Q19" s="26">
        <f t="shared" si="3"/>
        <v>0</v>
      </c>
    </row>
    <row r="20" ht="14.25" customHeight="1">
      <c r="B20" s="11" t="s">
        <v>900</v>
      </c>
      <c r="C20" s="20">
        <f>COUNTA('15 Attachments &amp; PDF'!$A$3:$A$42)</f>
        <v>40</v>
      </c>
      <c r="D20" s="20">
        <f>COUNTIF('15 Attachments &amp; PDF'!$I$3:$I$42,"P1")</f>
        <v>29</v>
      </c>
      <c r="E20" s="20">
        <f>COUNTIF('15 Attachments &amp; PDF'!$I$3:$I$42,"P2")</f>
        <v>8</v>
      </c>
      <c r="F20" s="20">
        <f>COUNTIF('15 Attachments &amp; PDF'!$I$3:$I$42,"P3")</f>
        <v>3</v>
      </c>
      <c r="G20" s="20">
        <f>COUNTIF('15 Attachments &amp; PDF'!$D$3:$D$42,"Web")</f>
        <v>31</v>
      </c>
      <c r="H20" s="20">
        <f>COUNTIF('15 Attachments &amp; PDF'!$D$3:$D$42,"iOS")</f>
        <v>6</v>
      </c>
      <c r="I20" s="20">
        <f>COUNTIF('15 Attachments &amp; PDF'!$D$3:$D$42,"Web + iOS")</f>
        <v>3</v>
      </c>
      <c r="J20" s="20">
        <f>SUM('15 Attachments &amp; PDF'!$K$3:$K$42)</f>
        <v>1010</v>
      </c>
      <c r="K20" s="22">
        <f t="shared" si="1"/>
        <v>16.83333333</v>
      </c>
      <c r="L20" s="20">
        <f>COUNTIF('15 Attachments &amp; PDF'!$L$3:$L$42,"Pass")</f>
        <v>0</v>
      </c>
      <c r="M20" s="20">
        <f>COUNTIF('15 Attachments &amp; PDF'!$L$3:$L$42,"Fail")</f>
        <v>0</v>
      </c>
      <c r="N20" s="20">
        <f>COUNTIF('15 Attachments &amp; PDF'!$L$3:$L$42,"Blocked")</f>
        <v>0</v>
      </c>
      <c r="O20" s="20">
        <f>COUNTIF('15 Attachments &amp; PDF'!$L$3:$L$42,"Not Run")</f>
        <v>40</v>
      </c>
      <c r="P20" s="23">
        <f t="shared" si="2"/>
        <v>0</v>
      </c>
      <c r="Q20" s="23">
        <f t="shared" si="3"/>
        <v>0</v>
      </c>
    </row>
    <row r="21" ht="14.25" customHeight="1">
      <c r="B21" s="21" t="s">
        <v>901</v>
      </c>
      <c r="C21" s="24">
        <f>COUNTA('16 Weather &amp; Tracking'!$A$3:$A$37)</f>
        <v>35</v>
      </c>
      <c r="D21" s="24">
        <f>COUNTIF('16 Weather &amp; Tracking'!$I$3:$I$37,"P1")</f>
        <v>23</v>
      </c>
      <c r="E21" s="24">
        <f>COUNTIF('16 Weather &amp; Tracking'!$I$3:$I$37,"P2")</f>
        <v>12</v>
      </c>
      <c r="F21" s="24">
        <f>COUNTIF('16 Weather &amp; Tracking'!$I$3:$I$37,"P3")</f>
        <v>0</v>
      </c>
      <c r="G21" s="24">
        <f>COUNTIF('16 Weather &amp; Tracking'!$D$3:$D$37,"Web")</f>
        <v>16</v>
      </c>
      <c r="H21" s="24">
        <f>COUNTIF('16 Weather &amp; Tracking'!$D$3:$D$37,"iOS")</f>
        <v>19</v>
      </c>
      <c r="I21" s="24">
        <f>COUNTIF('16 Weather &amp; Tracking'!$D$3:$D$37,"Web + iOS")</f>
        <v>0</v>
      </c>
      <c r="J21" s="24">
        <f>SUM('16 Weather &amp; Tracking'!$K$3:$K$37)</f>
        <v>1025</v>
      </c>
      <c r="K21" s="25">
        <f t="shared" si="1"/>
        <v>17.08333333</v>
      </c>
      <c r="L21" s="24">
        <f>COUNTIF('16 Weather &amp; Tracking'!$L$3:$L$37,"Pass")</f>
        <v>0</v>
      </c>
      <c r="M21" s="24">
        <f>COUNTIF('16 Weather &amp; Tracking'!$L$3:$L$37,"Fail")</f>
        <v>0</v>
      </c>
      <c r="N21" s="24">
        <f>COUNTIF('16 Weather &amp; Tracking'!$L$3:$L$37,"Blocked")</f>
        <v>0</v>
      </c>
      <c r="O21" s="24">
        <f>COUNTIF('16 Weather &amp; Tracking'!$L$3:$L$37,"Not Run")</f>
        <v>35</v>
      </c>
      <c r="P21" s="26">
        <f t="shared" si="2"/>
        <v>0</v>
      </c>
      <c r="Q21" s="26">
        <f t="shared" si="3"/>
        <v>0</v>
      </c>
    </row>
    <row r="22" ht="14.25" customHeight="1">
      <c r="B22" s="11" t="s">
        <v>902</v>
      </c>
      <c r="C22" s="20">
        <f>COUNTA('17 Cross-Cutting &amp; NFR'!$A$3:$A$32)</f>
        <v>30</v>
      </c>
      <c r="D22" s="20">
        <f>COUNTIF('17 Cross-Cutting &amp; NFR'!$I$3:$I$32,"P1")</f>
        <v>21</v>
      </c>
      <c r="E22" s="20">
        <f>COUNTIF('17 Cross-Cutting &amp; NFR'!$I$3:$I$32,"P2")</f>
        <v>7</v>
      </c>
      <c r="F22" s="20">
        <f>COUNTIF('17 Cross-Cutting &amp; NFR'!$I$3:$I$32,"P3")</f>
        <v>2</v>
      </c>
      <c r="G22" s="20">
        <f>COUNTIF('17 Cross-Cutting &amp; NFR'!$D$3:$D$32,"Web")</f>
        <v>25</v>
      </c>
      <c r="H22" s="20">
        <f>COUNTIF('17 Cross-Cutting &amp; NFR'!$D$3:$D$32,"iOS")</f>
        <v>1</v>
      </c>
      <c r="I22" s="20">
        <f>COUNTIF('17 Cross-Cutting &amp; NFR'!$D$3:$D$32,"Web + iOS")</f>
        <v>4</v>
      </c>
      <c r="J22" s="20">
        <f>SUM('17 Cross-Cutting &amp; NFR'!$K$3:$K$32)</f>
        <v>1210</v>
      </c>
      <c r="K22" s="22">
        <f t="shared" si="1"/>
        <v>20.16666667</v>
      </c>
      <c r="L22" s="20">
        <f>COUNTIF('17 Cross-Cutting &amp; NFR'!$L$3:$L$32,"Pass")</f>
        <v>0</v>
      </c>
      <c r="M22" s="20">
        <f>COUNTIF('17 Cross-Cutting &amp; NFR'!$L$3:$L$32,"Fail")</f>
        <v>0</v>
      </c>
      <c r="N22" s="20">
        <f>COUNTIF('17 Cross-Cutting &amp; NFR'!$L$3:$L$32,"Blocked")</f>
        <v>0</v>
      </c>
      <c r="O22" s="20">
        <f>COUNTIF('17 Cross-Cutting &amp; NFR'!$L$3:$L$32,"Not Run")</f>
        <v>30</v>
      </c>
      <c r="P22" s="23">
        <f t="shared" si="2"/>
        <v>0</v>
      </c>
      <c r="Q22" s="23">
        <f t="shared" si="3"/>
        <v>0</v>
      </c>
    </row>
    <row r="23" ht="14.25" customHeight="1">
      <c r="B23" s="29" t="s">
        <v>903</v>
      </c>
      <c r="C23" s="30">
        <f t="shared" ref="C23:O23" si="4">SUM(C6:C22)</f>
        <v>796</v>
      </c>
      <c r="D23" s="30">
        <f t="shared" si="4"/>
        <v>495</v>
      </c>
      <c r="E23" s="30">
        <f t="shared" si="4"/>
        <v>280</v>
      </c>
      <c r="F23" s="30">
        <f t="shared" si="4"/>
        <v>21</v>
      </c>
      <c r="G23" s="30">
        <f t="shared" si="4"/>
        <v>590</v>
      </c>
      <c r="H23" s="30">
        <f t="shared" si="4"/>
        <v>163</v>
      </c>
      <c r="I23" s="30">
        <f t="shared" si="4"/>
        <v>43</v>
      </c>
      <c r="J23" s="30">
        <f t="shared" si="4"/>
        <v>18972</v>
      </c>
      <c r="K23" s="31">
        <f t="shared" si="4"/>
        <v>316.2</v>
      </c>
      <c r="L23" s="30">
        <f t="shared" si="4"/>
        <v>0</v>
      </c>
      <c r="M23" s="30">
        <f t="shared" si="4"/>
        <v>0</v>
      </c>
      <c r="N23" s="30">
        <f t="shared" si="4"/>
        <v>0</v>
      </c>
      <c r="O23" s="30">
        <f t="shared" si="4"/>
        <v>796</v>
      </c>
      <c r="P23" s="32">
        <f t="shared" si="2"/>
        <v>0</v>
      </c>
      <c r="Q23" s="32">
        <f t="shared" si="3"/>
        <v>0</v>
      </c>
    </row>
    <row r="24" ht="14.25" customHeight="1"/>
    <row r="25" ht="14.25" customHeight="1"/>
    <row r="26" ht="14.25" customHeight="1">
      <c r="B26" s="10" t="s">
        <v>904</v>
      </c>
    </row>
    <row r="27" ht="14.25" customHeight="1">
      <c r="B27" s="14" t="s">
        <v>905</v>
      </c>
      <c r="G27" s="33">
        <f>C23</f>
        <v>796</v>
      </c>
    </row>
    <row r="28" ht="14.25" customHeight="1">
      <c r="B28" s="14" t="s">
        <v>906</v>
      </c>
      <c r="G28" s="34">
        <f>K23</f>
        <v>316.2</v>
      </c>
    </row>
    <row r="29" ht="14.25" customHeight="1">
      <c r="B29" s="14" t="s">
        <v>907</v>
      </c>
      <c r="G29" s="34">
        <f>IFERROR(K23/6,0)</f>
        <v>52.7</v>
      </c>
    </row>
    <row r="30" ht="14.25" customHeight="1">
      <c r="B30" s="14" t="s">
        <v>908</v>
      </c>
      <c r="G30" s="34">
        <f>IFERROR(K23/6,0)</f>
        <v>52.7</v>
      </c>
    </row>
    <row r="31" ht="14.25" customHeight="1">
      <c r="B31" s="14" t="s">
        <v>909</v>
      </c>
      <c r="G31" s="34">
        <f>IFERROR(K23/12,0)</f>
        <v>26.35</v>
      </c>
    </row>
    <row r="32" ht="14.25" customHeight="1">
      <c r="B32" s="14" t="s">
        <v>910</v>
      </c>
      <c r="G32" s="34">
        <f>IFERROR(K23/18,0)</f>
        <v>17.56666667</v>
      </c>
    </row>
    <row r="33" ht="14.25" customHeight="1">
      <c r="B33" s="14" t="s">
        <v>911</v>
      </c>
      <c r="G33" s="34">
        <f>IFERROR(K23*0.3,0)</f>
        <v>94.86</v>
      </c>
    </row>
    <row r="34" ht="14.25" customHeight="1">
      <c r="B34" s="14" t="s">
        <v>912</v>
      </c>
      <c r="G34" s="34">
        <f>IFERROR(K23*1.3,0)</f>
        <v>411.06</v>
      </c>
    </row>
    <row r="35" ht="14.25" customHeight="1">
      <c r="B35" s="14" t="s">
        <v>913</v>
      </c>
      <c r="G35" s="33">
        <f>D23</f>
        <v>495</v>
      </c>
    </row>
    <row r="36" ht="14.25" customHeight="1">
      <c r="B36" s="14" t="s">
        <v>914</v>
      </c>
      <c r="G36" s="33">
        <f>G23</f>
        <v>590</v>
      </c>
    </row>
    <row r="37" ht="14.25" customHeight="1">
      <c r="B37" s="14" t="s">
        <v>915</v>
      </c>
      <c r="G37" s="33">
        <f>H23</f>
        <v>163</v>
      </c>
    </row>
    <row r="38" ht="14.25" customHeight="1">
      <c r="B38" s="14" t="s">
        <v>916</v>
      </c>
      <c r="G38" s="33">
        <f>I23</f>
        <v>43</v>
      </c>
    </row>
    <row r="39" ht="14.25" customHeight="1">
      <c r="B39" s="14" t="s">
        <v>917</v>
      </c>
      <c r="G39" s="33">
        <f>COUNTIF('Defect Log'!$H$3:$H$200,"Open")</f>
        <v>1</v>
      </c>
    </row>
    <row r="40" ht="14.25" customHeight="1">
      <c r="B40" s="14" t="s">
        <v>918</v>
      </c>
      <c r="G40" s="33">
        <f>COUNTIFS('Defect Log'!$G$3:$G$200,"High",'Defect Log'!$H$3:$H$200,"Open")</f>
        <v>1</v>
      </c>
    </row>
    <row r="41" ht="14.25" customHeight="1">
      <c r="B41" s="14" t="s">
        <v>919</v>
      </c>
      <c r="G41" s="35">
        <f>Q23</f>
        <v>0</v>
      </c>
    </row>
    <row r="42" ht="14.25" customHeight="1">
      <c r="B42" s="14" t="s">
        <v>920</v>
      </c>
      <c r="G42" s="35">
        <f>P23</f>
        <v>0</v>
      </c>
    </row>
    <row r="43" ht="14.25" customHeight="1">
      <c r="B43" s="14" t="s">
        <v>921</v>
      </c>
      <c r="G43" s="35">
        <f>IFERROR(P23*Q23,0)</f>
        <v>0</v>
      </c>
    </row>
    <row r="44" ht="14.25" customHeight="1"/>
    <row r="45" ht="14.25" customHeight="1">
      <c r="B45" s="4" t="s">
        <v>923</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B27:F27"/>
    <mergeCell ref="B28:F28"/>
    <mergeCell ref="B29:F29"/>
    <mergeCell ref="B30:F30"/>
    <mergeCell ref="B31:F31"/>
    <mergeCell ref="B32:F32"/>
    <mergeCell ref="B33:F33"/>
    <mergeCell ref="B41:F41"/>
    <mergeCell ref="B42:F42"/>
    <mergeCell ref="B43:F43"/>
    <mergeCell ref="B45:L45"/>
    <mergeCell ref="B34:F34"/>
    <mergeCell ref="B35:F35"/>
    <mergeCell ref="B36:F36"/>
    <mergeCell ref="B37:F37"/>
    <mergeCell ref="B38:F38"/>
    <mergeCell ref="B39:F39"/>
    <mergeCell ref="B40:F40"/>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2</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81</v>
      </c>
      <c r="B3" s="11" t="s">
        <v>52</v>
      </c>
      <c r="C3" s="11" t="s">
        <v>83</v>
      </c>
      <c r="D3" s="12" t="s">
        <v>31</v>
      </c>
      <c r="E3" s="11" t="s">
        <v>85</v>
      </c>
      <c r="F3" s="11" t="s">
        <v>86</v>
      </c>
      <c r="G3" s="11" t="s">
        <v>87</v>
      </c>
      <c r="H3" s="11" t="s">
        <v>88</v>
      </c>
      <c r="I3" s="12" t="s">
        <v>28</v>
      </c>
      <c r="J3" s="12" t="s">
        <v>75</v>
      </c>
      <c r="K3" s="12">
        <v>12.0</v>
      </c>
      <c r="L3" s="15" t="s">
        <v>47</v>
      </c>
      <c r="M3" s="17"/>
      <c r="N3" s="17"/>
    </row>
    <row r="4" ht="14.25" customHeight="1">
      <c r="A4" s="19" t="s">
        <v>93</v>
      </c>
      <c r="B4" s="21" t="s">
        <v>52</v>
      </c>
      <c r="C4" s="21" t="s">
        <v>83</v>
      </c>
      <c r="D4" s="19" t="s">
        <v>31</v>
      </c>
      <c r="E4" s="21" t="s">
        <v>95</v>
      </c>
      <c r="F4" s="21" t="s">
        <v>97</v>
      </c>
      <c r="G4" s="21" t="s">
        <v>99</v>
      </c>
      <c r="H4" s="21" t="s">
        <v>101</v>
      </c>
      <c r="I4" s="19" t="s">
        <v>28</v>
      </c>
      <c r="J4" s="19" t="s">
        <v>103</v>
      </c>
      <c r="K4" s="19">
        <v>10.0</v>
      </c>
      <c r="L4" s="15" t="s">
        <v>47</v>
      </c>
      <c r="M4" s="17"/>
      <c r="N4" s="17"/>
    </row>
    <row r="5" ht="14.25" customHeight="1">
      <c r="A5" s="12" t="s">
        <v>105</v>
      </c>
      <c r="B5" s="11" t="s">
        <v>52</v>
      </c>
      <c r="C5" s="11" t="s">
        <v>83</v>
      </c>
      <c r="D5" s="12" t="s">
        <v>31</v>
      </c>
      <c r="E5" s="11" t="s">
        <v>107</v>
      </c>
      <c r="F5" s="11" t="s">
        <v>109</v>
      </c>
      <c r="G5" s="11" t="s">
        <v>111</v>
      </c>
      <c r="H5" s="11" t="s">
        <v>113</v>
      </c>
      <c r="I5" s="12" t="s">
        <v>28</v>
      </c>
      <c r="J5" s="12" t="s">
        <v>114</v>
      </c>
      <c r="K5" s="12">
        <v>12.0</v>
      </c>
      <c r="L5" s="15" t="s">
        <v>47</v>
      </c>
      <c r="M5" s="17"/>
      <c r="N5" s="17"/>
    </row>
    <row r="6" ht="14.25" customHeight="1">
      <c r="A6" s="19" t="s">
        <v>116</v>
      </c>
      <c r="B6" s="21" t="s">
        <v>52</v>
      </c>
      <c r="C6" s="21" t="s">
        <v>83</v>
      </c>
      <c r="D6" s="19" t="s">
        <v>31</v>
      </c>
      <c r="E6" s="21" t="s">
        <v>117</v>
      </c>
      <c r="F6" s="21" t="s">
        <v>119</v>
      </c>
      <c r="G6" s="21" t="s">
        <v>121</v>
      </c>
      <c r="H6" s="21" t="s">
        <v>123</v>
      </c>
      <c r="I6" s="19" t="s">
        <v>28</v>
      </c>
      <c r="J6" s="19" t="s">
        <v>114</v>
      </c>
      <c r="K6" s="19">
        <v>12.0</v>
      </c>
      <c r="L6" s="15" t="s">
        <v>47</v>
      </c>
      <c r="M6" s="17"/>
      <c r="N6" s="17"/>
    </row>
    <row r="7" ht="14.25" customHeight="1">
      <c r="A7" s="12" t="s">
        <v>126</v>
      </c>
      <c r="B7" s="11" t="s">
        <v>52</v>
      </c>
      <c r="C7" s="11" t="s">
        <v>83</v>
      </c>
      <c r="D7" s="12" t="s">
        <v>31</v>
      </c>
      <c r="E7" s="11" t="s">
        <v>117</v>
      </c>
      <c r="F7" s="11" t="s">
        <v>129</v>
      </c>
      <c r="G7" s="11" t="s">
        <v>131</v>
      </c>
      <c r="H7" s="11" t="s">
        <v>132</v>
      </c>
      <c r="I7" s="12" t="s">
        <v>29</v>
      </c>
      <c r="J7" s="12" t="s">
        <v>75</v>
      </c>
      <c r="K7" s="12">
        <v>30.0</v>
      </c>
      <c r="L7" s="15" t="s">
        <v>47</v>
      </c>
      <c r="M7" s="17"/>
      <c r="N7" s="17"/>
    </row>
    <row r="8" ht="14.25" customHeight="1">
      <c r="A8" s="19" t="s">
        <v>134</v>
      </c>
      <c r="B8" s="21" t="s">
        <v>52</v>
      </c>
      <c r="C8" s="21" t="s">
        <v>83</v>
      </c>
      <c r="D8" s="19" t="s">
        <v>31</v>
      </c>
      <c r="E8" s="21" t="s">
        <v>136</v>
      </c>
      <c r="F8" s="21" t="s">
        <v>137</v>
      </c>
      <c r="G8" s="21" t="s">
        <v>138</v>
      </c>
      <c r="H8" s="21" t="s">
        <v>139</v>
      </c>
      <c r="I8" s="19" t="s">
        <v>28</v>
      </c>
      <c r="J8" s="19" t="s">
        <v>103</v>
      </c>
      <c r="K8" s="19">
        <v>20.0</v>
      </c>
      <c r="L8" s="15" t="s">
        <v>47</v>
      </c>
      <c r="M8" s="17"/>
      <c r="N8" s="17"/>
    </row>
    <row r="9" ht="14.25" customHeight="1">
      <c r="A9" s="12" t="s">
        <v>143</v>
      </c>
      <c r="B9" s="11" t="s">
        <v>52</v>
      </c>
      <c r="C9" s="11" t="s">
        <v>83</v>
      </c>
      <c r="D9" s="12" t="s">
        <v>31</v>
      </c>
      <c r="E9" s="11" t="s">
        <v>145</v>
      </c>
      <c r="F9" s="11" t="s">
        <v>146</v>
      </c>
      <c r="G9" s="11" t="s">
        <v>147</v>
      </c>
      <c r="H9" s="11" t="s">
        <v>148</v>
      </c>
      <c r="I9" s="12" t="s">
        <v>28</v>
      </c>
      <c r="J9" s="12" t="s">
        <v>114</v>
      </c>
      <c r="K9" s="12">
        <v>20.0</v>
      </c>
      <c r="L9" s="15" t="s">
        <v>47</v>
      </c>
      <c r="M9" s="17"/>
      <c r="N9" s="17"/>
    </row>
    <row r="10" ht="14.25" customHeight="1">
      <c r="A10" s="19" t="s">
        <v>151</v>
      </c>
      <c r="B10" s="21" t="s">
        <v>52</v>
      </c>
      <c r="C10" s="21" t="s">
        <v>83</v>
      </c>
      <c r="D10" s="19" t="s">
        <v>33</v>
      </c>
      <c r="E10" s="21" t="s">
        <v>153</v>
      </c>
      <c r="F10" s="21" t="s">
        <v>154</v>
      </c>
      <c r="G10" s="21" t="s">
        <v>156</v>
      </c>
      <c r="H10" s="21" t="s">
        <v>157</v>
      </c>
      <c r="I10" s="19" t="s">
        <v>28</v>
      </c>
      <c r="J10" s="19" t="s">
        <v>75</v>
      </c>
      <c r="K10" s="19">
        <v>15.0</v>
      </c>
      <c r="L10" s="15" t="s">
        <v>47</v>
      </c>
      <c r="M10" s="17"/>
      <c r="N10" s="17"/>
    </row>
    <row r="11" ht="14.25" customHeight="1">
      <c r="A11" s="12" t="s">
        <v>159</v>
      </c>
      <c r="B11" s="11" t="s">
        <v>52</v>
      </c>
      <c r="C11" s="11" t="s">
        <v>83</v>
      </c>
      <c r="D11" s="12" t="s">
        <v>33</v>
      </c>
      <c r="E11" s="11" t="s">
        <v>161</v>
      </c>
      <c r="F11" s="11" t="s">
        <v>162</v>
      </c>
      <c r="G11" s="11" t="s">
        <v>163</v>
      </c>
      <c r="H11" s="11" t="s">
        <v>164</v>
      </c>
      <c r="I11" s="12" t="s">
        <v>28</v>
      </c>
      <c r="J11" s="12" t="s">
        <v>103</v>
      </c>
      <c r="K11" s="12">
        <v>12.0</v>
      </c>
      <c r="L11" s="15" t="s">
        <v>47</v>
      </c>
      <c r="M11" s="17"/>
      <c r="N11" s="17"/>
    </row>
    <row r="12" ht="14.25" customHeight="1">
      <c r="A12" s="19" t="s">
        <v>168</v>
      </c>
      <c r="B12" s="21" t="s">
        <v>52</v>
      </c>
      <c r="C12" s="21" t="s">
        <v>83</v>
      </c>
      <c r="D12" s="19" t="s">
        <v>33</v>
      </c>
      <c r="E12" s="21" t="s">
        <v>169</v>
      </c>
      <c r="F12" s="21" t="s">
        <v>170</v>
      </c>
      <c r="G12" s="21" t="s">
        <v>171</v>
      </c>
      <c r="H12" s="21" t="s">
        <v>172</v>
      </c>
      <c r="I12" s="19" t="s">
        <v>28</v>
      </c>
      <c r="J12" s="19" t="s">
        <v>75</v>
      </c>
      <c r="K12" s="19">
        <v>12.0</v>
      </c>
      <c r="L12" s="15" t="s">
        <v>47</v>
      </c>
      <c r="M12" s="17"/>
      <c r="N12" s="17"/>
    </row>
    <row r="13" ht="14.25" customHeight="1">
      <c r="A13" s="12" t="s">
        <v>174</v>
      </c>
      <c r="B13" s="11" t="s">
        <v>52</v>
      </c>
      <c r="C13" s="11" t="s">
        <v>83</v>
      </c>
      <c r="D13" s="12" t="s">
        <v>33</v>
      </c>
      <c r="E13" s="11" t="s">
        <v>169</v>
      </c>
      <c r="F13" s="11" t="s">
        <v>178</v>
      </c>
      <c r="G13" s="11" t="s">
        <v>179</v>
      </c>
      <c r="H13" s="11" t="s">
        <v>180</v>
      </c>
      <c r="I13" s="12" t="s">
        <v>28</v>
      </c>
      <c r="J13" s="12" t="s">
        <v>114</v>
      </c>
      <c r="K13" s="12">
        <v>20.0</v>
      </c>
      <c r="L13" s="15" t="s">
        <v>47</v>
      </c>
      <c r="M13" s="17"/>
      <c r="N13" s="17"/>
    </row>
    <row r="14" ht="14.25" customHeight="1">
      <c r="A14" s="19" t="s">
        <v>182</v>
      </c>
      <c r="B14" s="21" t="s">
        <v>52</v>
      </c>
      <c r="C14" s="21" t="s">
        <v>83</v>
      </c>
      <c r="D14" s="19" t="s">
        <v>183</v>
      </c>
      <c r="E14" s="21" t="s">
        <v>184</v>
      </c>
      <c r="F14" s="21" t="s">
        <v>185</v>
      </c>
      <c r="G14" s="21" t="s">
        <v>186</v>
      </c>
      <c r="H14" s="21" t="s">
        <v>187</v>
      </c>
      <c r="I14" s="19" t="s">
        <v>29</v>
      </c>
      <c r="J14" s="19" t="s">
        <v>75</v>
      </c>
      <c r="K14" s="19">
        <v>20.0</v>
      </c>
      <c r="L14" s="15" t="s">
        <v>47</v>
      </c>
      <c r="M14" s="17"/>
      <c r="N14" s="17"/>
    </row>
    <row r="15" ht="14.25" customHeight="1">
      <c r="A15" s="12" t="s">
        <v>189</v>
      </c>
      <c r="B15" s="11" t="s">
        <v>52</v>
      </c>
      <c r="C15" s="11" t="s">
        <v>191</v>
      </c>
      <c r="D15" s="12" t="s">
        <v>31</v>
      </c>
      <c r="E15" s="11" t="s">
        <v>193</v>
      </c>
      <c r="F15" s="11" t="s">
        <v>194</v>
      </c>
      <c r="G15" s="11" t="s">
        <v>195</v>
      </c>
      <c r="H15" s="11" t="s">
        <v>196</v>
      </c>
      <c r="I15" s="12" t="s">
        <v>29</v>
      </c>
      <c r="J15" s="12" t="s">
        <v>197</v>
      </c>
      <c r="K15" s="12">
        <v>8.0</v>
      </c>
      <c r="L15" s="15" t="s">
        <v>47</v>
      </c>
      <c r="M15" s="17"/>
      <c r="N15" s="17"/>
    </row>
    <row r="16" ht="14.25" customHeight="1">
      <c r="A16" s="19" t="s">
        <v>199</v>
      </c>
      <c r="B16" s="21" t="s">
        <v>52</v>
      </c>
      <c r="C16" s="21" t="s">
        <v>191</v>
      </c>
      <c r="D16" s="19" t="s">
        <v>31</v>
      </c>
      <c r="E16" s="21" t="s">
        <v>193</v>
      </c>
      <c r="F16" s="21" t="s">
        <v>202</v>
      </c>
      <c r="G16" s="21" t="s">
        <v>204</v>
      </c>
      <c r="H16" s="21" t="s">
        <v>205</v>
      </c>
      <c r="I16" s="19" t="s">
        <v>28</v>
      </c>
      <c r="J16" s="19" t="s">
        <v>75</v>
      </c>
      <c r="K16" s="19">
        <v>15.0</v>
      </c>
      <c r="L16" s="15" t="s">
        <v>47</v>
      </c>
      <c r="M16" s="17"/>
      <c r="N16" s="17"/>
    </row>
    <row r="17" ht="14.25" customHeight="1">
      <c r="A17" s="12" t="s">
        <v>207</v>
      </c>
      <c r="B17" s="11" t="s">
        <v>52</v>
      </c>
      <c r="C17" s="11" t="s">
        <v>191</v>
      </c>
      <c r="D17" s="12" t="s">
        <v>31</v>
      </c>
      <c r="E17" s="11" t="s">
        <v>208</v>
      </c>
      <c r="F17" s="11" t="s">
        <v>210</v>
      </c>
      <c r="G17" s="11" t="s">
        <v>211</v>
      </c>
      <c r="H17" s="11" t="s">
        <v>212</v>
      </c>
      <c r="I17" s="12" t="s">
        <v>29</v>
      </c>
      <c r="J17" s="12" t="s">
        <v>197</v>
      </c>
      <c r="K17" s="12">
        <v>10.0</v>
      </c>
      <c r="L17" s="15" t="s">
        <v>47</v>
      </c>
      <c r="M17" s="17"/>
      <c r="N17" s="17"/>
    </row>
    <row r="18" ht="14.25" customHeight="1">
      <c r="A18" s="19" t="s">
        <v>215</v>
      </c>
      <c r="B18" s="21" t="s">
        <v>52</v>
      </c>
      <c r="C18" s="21" t="s">
        <v>191</v>
      </c>
      <c r="D18" s="19" t="s">
        <v>31</v>
      </c>
      <c r="E18" s="21" t="s">
        <v>218</v>
      </c>
      <c r="F18" s="21" t="s">
        <v>219</v>
      </c>
      <c r="G18" s="21" t="s">
        <v>220</v>
      </c>
      <c r="H18" s="21" t="s">
        <v>221</v>
      </c>
      <c r="I18" s="19" t="s">
        <v>29</v>
      </c>
      <c r="J18" s="19" t="s">
        <v>75</v>
      </c>
      <c r="K18" s="19">
        <v>12.0</v>
      </c>
      <c r="L18" s="15" t="s">
        <v>47</v>
      </c>
      <c r="M18" s="17"/>
      <c r="N18" s="17"/>
    </row>
    <row r="19" ht="14.25" customHeight="1">
      <c r="A19" s="12" t="s">
        <v>223</v>
      </c>
      <c r="B19" s="11" t="s">
        <v>52</v>
      </c>
      <c r="C19" s="11" t="s">
        <v>224</v>
      </c>
      <c r="D19" s="12" t="s">
        <v>31</v>
      </c>
      <c r="E19" s="11" t="s">
        <v>225</v>
      </c>
      <c r="F19" s="11" t="s">
        <v>226</v>
      </c>
      <c r="G19" s="11" t="s">
        <v>227</v>
      </c>
      <c r="H19" s="11" t="s">
        <v>228</v>
      </c>
      <c r="I19" s="12" t="s">
        <v>28</v>
      </c>
      <c r="J19" s="12" t="s">
        <v>114</v>
      </c>
      <c r="K19" s="12">
        <v>15.0</v>
      </c>
      <c r="L19" s="15" t="s">
        <v>47</v>
      </c>
      <c r="M19" s="17"/>
      <c r="N19" s="17"/>
    </row>
    <row r="20" ht="14.25" customHeight="1">
      <c r="A20" s="19" t="s">
        <v>229</v>
      </c>
      <c r="B20" s="21" t="s">
        <v>52</v>
      </c>
      <c r="C20" s="21" t="s">
        <v>224</v>
      </c>
      <c r="D20" s="19" t="s">
        <v>31</v>
      </c>
      <c r="E20" s="21" t="s">
        <v>233</v>
      </c>
      <c r="F20" s="21" t="s">
        <v>234</v>
      </c>
      <c r="G20" s="21" t="s">
        <v>235</v>
      </c>
      <c r="H20" s="21" t="s">
        <v>236</v>
      </c>
      <c r="I20" s="19" t="s">
        <v>28</v>
      </c>
      <c r="J20" s="19" t="s">
        <v>75</v>
      </c>
      <c r="K20" s="19">
        <v>20.0</v>
      </c>
      <c r="L20" s="15" t="s">
        <v>47</v>
      </c>
      <c r="M20" s="17"/>
      <c r="N20" s="17"/>
    </row>
    <row r="21" ht="14.25" customHeight="1">
      <c r="A21" s="12" t="s">
        <v>238</v>
      </c>
      <c r="B21" s="11" t="s">
        <v>52</v>
      </c>
      <c r="C21" s="11" t="s">
        <v>224</v>
      </c>
      <c r="D21" s="12" t="s">
        <v>31</v>
      </c>
      <c r="E21" s="11" t="s">
        <v>240</v>
      </c>
      <c r="F21" s="11" t="s">
        <v>242</v>
      </c>
      <c r="G21" s="11" t="s">
        <v>244</v>
      </c>
      <c r="H21" s="11" t="s">
        <v>246</v>
      </c>
      <c r="I21" s="12" t="s">
        <v>29</v>
      </c>
      <c r="J21" s="12" t="s">
        <v>103</v>
      </c>
      <c r="K21" s="12">
        <v>15.0</v>
      </c>
      <c r="L21" s="15" t="s">
        <v>47</v>
      </c>
      <c r="M21" s="17"/>
      <c r="N21" s="17"/>
    </row>
    <row r="22" ht="14.25" customHeight="1">
      <c r="A22" s="19" t="s">
        <v>247</v>
      </c>
      <c r="B22" s="21" t="s">
        <v>52</v>
      </c>
      <c r="C22" s="21" t="s">
        <v>224</v>
      </c>
      <c r="D22" s="19" t="s">
        <v>31</v>
      </c>
      <c r="E22" s="21" t="s">
        <v>249</v>
      </c>
      <c r="F22" s="21" t="s">
        <v>250</v>
      </c>
      <c r="G22" s="21" t="s">
        <v>251</v>
      </c>
      <c r="H22" s="21" t="s">
        <v>253</v>
      </c>
      <c r="I22" s="19" t="s">
        <v>29</v>
      </c>
      <c r="J22" s="19" t="s">
        <v>75</v>
      </c>
      <c r="K22" s="19">
        <v>15.0</v>
      </c>
      <c r="L22" s="15" t="s">
        <v>47</v>
      </c>
      <c r="M22" s="17"/>
      <c r="N22" s="17"/>
    </row>
    <row r="23" ht="14.25" customHeight="1">
      <c r="A23" s="12" t="s">
        <v>257</v>
      </c>
      <c r="B23" s="11" t="s">
        <v>52</v>
      </c>
      <c r="C23" s="11" t="s">
        <v>258</v>
      </c>
      <c r="D23" s="12" t="s">
        <v>31</v>
      </c>
      <c r="E23" s="11" t="s">
        <v>259</v>
      </c>
      <c r="F23" s="11" t="s">
        <v>260</v>
      </c>
      <c r="G23" s="11" t="s">
        <v>261</v>
      </c>
      <c r="H23" s="11" t="s">
        <v>263</v>
      </c>
      <c r="I23" s="12" t="s">
        <v>29</v>
      </c>
      <c r="J23" s="12" t="s">
        <v>75</v>
      </c>
      <c r="K23" s="12">
        <v>12.0</v>
      </c>
      <c r="L23" s="15" t="s">
        <v>47</v>
      </c>
      <c r="M23" s="17"/>
      <c r="N23" s="17"/>
    </row>
    <row r="24" ht="14.25" customHeight="1">
      <c r="A24" s="19" t="s">
        <v>267</v>
      </c>
      <c r="B24" s="21" t="s">
        <v>52</v>
      </c>
      <c r="C24" s="21" t="s">
        <v>258</v>
      </c>
      <c r="D24" s="19" t="s">
        <v>31</v>
      </c>
      <c r="E24" s="21" t="s">
        <v>269</v>
      </c>
      <c r="F24" s="21" t="s">
        <v>270</v>
      </c>
      <c r="G24" s="21" t="s">
        <v>271</v>
      </c>
      <c r="H24" s="21" t="s">
        <v>272</v>
      </c>
      <c r="I24" s="19" t="s">
        <v>28</v>
      </c>
      <c r="J24" s="19" t="s">
        <v>75</v>
      </c>
      <c r="K24" s="19">
        <v>18.0</v>
      </c>
      <c r="L24" s="15" t="s">
        <v>47</v>
      </c>
      <c r="M24" s="17"/>
      <c r="N24" s="17"/>
    </row>
    <row r="25" ht="14.25" customHeight="1">
      <c r="A25" s="12" t="s">
        <v>277</v>
      </c>
      <c r="B25" s="11" t="s">
        <v>52</v>
      </c>
      <c r="C25" s="11" t="s">
        <v>258</v>
      </c>
      <c r="D25" s="12" t="s">
        <v>31</v>
      </c>
      <c r="E25" s="11" t="s">
        <v>280</v>
      </c>
      <c r="F25" s="11" t="s">
        <v>281</v>
      </c>
      <c r="G25" s="11" t="s">
        <v>282</v>
      </c>
      <c r="H25" s="11" t="s">
        <v>283</v>
      </c>
      <c r="I25" s="12" t="s">
        <v>28</v>
      </c>
      <c r="J25" s="12" t="s">
        <v>102</v>
      </c>
      <c r="K25" s="12">
        <v>18.0</v>
      </c>
      <c r="L25" s="15" t="s">
        <v>47</v>
      </c>
      <c r="M25" s="17"/>
      <c r="N25" s="17"/>
    </row>
    <row r="26" ht="14.25" customHeight="1">
      <c r="A26" s="19" t="s">
        <v>288</v>
      </c>
      <c r="B26" s="21" t="s">
        <v>52</v>
      </c>
      <c r="C26" s="21" t="s">
        <v>290</v>
      </c>
      <c r="D26" s="19" t="s">
        <v>31</v>
      </c>
      <c r="E26" s="21" t="s">
        <v>193</v>
      </c>
      <c r="F26" s="21" t="s">
        <v>291</v>
      </c>
      <c r="G26" s="21" t="s">
        <v>292</v>
      </c>
      <c r="H26" s="21" t="s">
        <v>293</v>
      </c>
      <c r="I26" s="19" t="s">
        <v>29</v>
      </c>
      <c r="J26" s="19" t="s">
        <v>75</v>
      </c>
      <c r="K26" s="19">
        <v>10.0</v>
      </c>
      <c r="L26" s="15" t="s">
        <v>47</v>
      </c>
      <c r="M26" s="17"/>
      <c r="N26" s="17"/>
    </row>
    <row r="27" ht="14.25" customHeight="1">
      <c r="A27" s="12" t="s">
        <v>298</v>
      </c>
      <c r="B27" s="11" t="s">
        <v>52</v>
      </c>
      <c r="C27" s="11" t="s">
        <v>290</v>
      </c>
      <c r="D27" s="12" t="s">
        <v>31</v>
      </c>
      <c r="E27" s="11" t="s">
        <v>300</v>
      </c>
      <c r="F27" s="11" t="s">
        <v>302</v>
      </c>
      <c r="G27" s="11" t="s">
        <v>303</v>
      </c>
      <c r="H27" s="11" t="s">
        <v>306</v>
      </c>
      <c r="I27" s="12" t="s">
        <v>28</v>
      </c>
      <c r="J27" s="12" t="s">
        <v>102</v>
      </c>
      <c r="K27" s="12">
        <v>20.0</v>
      </c>
      <c r="L27" s="15" t="s">
        <v>47</v>
      </c>
      <c r="M27" s="17"/>
      <c r="N27" s="17"/>
    </row>
    <row r="28" ht="14.25" customHeight="1">
      <c r="A28" s="19" t="s">
        <v>309</v>
      </c>
      <c r="B28" s="21" t="s">
        <v>52</v>
      </c>
      <c r="C28" s="21" t="s">
        <v>290</v>
      </c>
      <c r="D28" s="19" t="s">
        <v>31</v>
      </c>
      <c r="E28" s="21" t="s">
        <v>312</v>
      </c>
      <c r="F28" s="21" t="s">
        <v>314</v>
      </c>
      <c r="G28" s="21" t="s">
        <v>316</v>
      </c>
      <c r="H28" s="21" t="s">
        <v>318</v>
      </c>
      <c r="I28" s="19" t="s">
        <v>29</v>
      </c>
      <c r="J28" s="19" t="s">
        <v>75</v>
      </c>
      <c r="K28" s="19">
        <v>15.0</v>
      </c>
      <c r="L28" s="15" t="s">
        <v>47</v>
      </c>
      <c r="M28" s="17"/>
      <c r="N28" s="17"/>
    </row>
    <row r="29" ht="14.25" customHeight="1">
      <c r="A29" s="12" t="s">
        <v>320</v>
      </c>
      <c r="B29" s="11" t="s">
        <v>52</v>
      </c>
      <c r="C29" s="11" t="s">
        <v>321</v>
      </c>
      <c r="D29" s="12" t="s">
        <v>31</v>
      </c>
      <c r="E29" s="11" t="s">
        <v>324</v>
      </c>
      <c r="F29" s="11" t="s">
        <v>326</v>
      </c>
      <c r="G29" s="11" t="s">
        <v>327</v>
      </c>
      <c r="H29" s="11" t="s">
        <v>328</v>
      </c>
      <c r="I29" s="12" t="s">
        <v>29</v>
      </c>
      <c r="J29" s="12" t="s">
        <v>75</v>
      </c>
      <c r="K29" s="12">
        <v>12.0</v>
      </c>
      <c r="L29" s="15" t="s">
        <v>47</v>
      </c>
      <c r="M29" s="17"/>
      <c r="N29" s="17"/>
    </row>
    <row r="30" ht="14.25" customHeight="1">
      <c r="A30" s="19" t="s">
        <v>331</v>
      </c>
      <c r="B30" s="21" t="s">
        <v>52</v>
      </c>
      <c r="C30" s="21" t="s">
        <v>321</v>
      </c>
      <c r="D30" s="19" t="s">
        <v>31</v>
      </c>
      <c r="E30" s="21" t="s">
        <v>335</v>
      </c>
      <c r="F30" s="21" t="s">
        <v>337</v>
      </c>
      <c r="G30" s="21" t="s">
        <v>338</v>
      </c>
      <c r="H30" s="21" t="s">
        <v>339</v>
      </c>
      <c r="I30" s="19" t="s">
        <v>29</v>
      </c>
      <c r="J30" s="19" t="s">
        <v>102</v>
      </c>
      <c r="K30" s="19">
        <v>15.0</v>
      </c>
      <c r="L30" s="15" t="s">
        <v>47</v>
      </c>
      <c r="M30" s="17"/>
      <c r="N30" s="17"/>
    </row>
    <row r="31" ht="14.25" customHeight="1">
      <c r="A31" s="12" t="s">
        <v>342</v>
      </c>
      <c r="B31" s="11" t="s">
        <v>52</v>
      </c>
      <c r="C31" s="11" t="s">
        <v>345</v>
      </c>
      <c r="D31" s="12" t="s">
        <v>31</v>
      </c>
      <c r="E31" s="11" t="s">
        <v>193</v>
      </c>
      <c r="F31" s="11" t="s">
        <v>347</v>
      </c>
      <c r="G31" s="11" t="s">
        <v>348</v>
      </c>
      <c r="H31" s="11" t="s">
        <v>350</v>
      </c>
      <c r="I31" s="12" t="s">
        <v>28</v>
      </c>
      <c r="J31" s="12" t="s">
        <v>352</v>
      </c>
      <c r="K31" s="12">
        <v>12.0</v>
      </c>
      <c r="L31" s="15" t="s">
        <v>47</v>
      </c>
      <c r="M31" s="17"/>
      <c r="N31" s="17"/>
    </row>
    <row r="32" ht="14.25" customHeight="1">
      <c r="A32" s="19" t="s">
        <v>355</v>
      </c>
      <c r="B32" s="21" t="s">
        <v>52</v>
      </c>
      <c r="C32" s="21" t="s">
        <v>357</v>
      </c>
      <c r="D32" s="19" t="s">
        <v>31</v>
      </c>
      <c r="E32" s="21" t="s">
        <v>193</v>
      </c>
      <c r="F32" s="21" t="s">
        <v>358</v>
      </c>
      <c r="G32" s="21" t="s">
        <v>359</v>
      </c>
      <c r="H32" s="21" t="s">
        <v>360</v>
      </c>
      <c r="I32" s="19" t="s">
        <v>29</v>
      </c>
      <c r="J32" s="19" t="s">
        <v>75</v>
      </c>
      <c r="K32" s="19">
        <v>12.0</v>
      </c>
      <c r="L32" s="15" t="s">
        <v>47</v>
      </c>
      <c r="M32" s="17"/>
      <c r="N32" s="17"/>
    </row>
    <row r="33" ht="14.25" customHeight="1">
      <c r="A33" s="12" t="s">
        <v>366</v>
      </c>
      <c r="B33" s="11" t="s">
        <v>52</v>
      </c>
      <c r="C33" s="11" t="s">
        <v>357</v>
      </c>
      <c r="D33" s="12" t="s">
        <v>31</v>
      </c>
      <c r="E33" s="11" t="s">
        <v>368</v>
      </c>
      <c r="F33" s="11" t="s">
        <v>374</v>
      </c>
      <c r="G33" s="11" t="s">
        <v>375</v>
      </c>
      <c r="H33" s="11" t="s">
        <v>376</v>
      </c>
      <c r="I33" s="12" t="s">
        <v>29</v>
      </c>
      <c r="J33" s="12" t="s">
        <v>75</v>
      </c>
      <c r="K33" s="12">
        <v>25.0</v>
      </c>
      <c r="L33" s="15" t="s">
        <v>47</v>
      </c>
      <c r="M33" s="17"/>
      <c r="N33" s="17"/>
    </row>
    <row r="34" ht="14.25" customHeight="1">
      <c r="A34" s="19" t="s">
        <v>380</v>
      </c>
      <c r="B34" s="21" t="s">
        <v>52</v>
      </c>
      <c r="C34" s="21" t="s">
        <v>383</v>
      </c>
      <c r="D34" s="19" t="s">
        <v>31</v>
      </c>
      <c r="E34" s="21" t="s">
        <v>193</v>
      </c>
      <c r="F34" s="21" t="s">
        <v>388</v>
      </c>
      <c r="G34" s="21" t="s">
        <v>389</v>
      </c>
      <c r="H34" s="21" t="s">
        <v>390</v>
      </c>
      <c r="I34" s="19" t="s">
        <v>28</v>
      </c>
      <c r="J34" s="19" t="s">
        <v>197</v>
      </c>
      <c r="K34" s="19">
        <v>10.0</v>
      </c>
      <c r="L34" s="15" t="s">
        <v>47</v>
      </c>
      <c r="M34" s="17"/>
      <c r="N34" s="17"/>
    </row>
    <row r="35" ht="14.25" customHeight="1">
      <c r="A35" s="12" t="s">
        <v>394</v>
      </c>
      <c r="B35" s="11" t="s">
        <v>52</v>
      </c>
      <c r="C35" s="11" t="s">
        <v>383</v>
      </c>
      <c r="D35" s="12" t="s">
        <v>31</v>
      </c>
      <c r="E35" s="11" t="s">
        <v>395</v>
      </c>
      <c r="F35" s="11" t="s">
        <v>396</v>
      </c>
      <c r="G35" s="11" t="s">
        <v>397</v>
      </c>
      <c r="H35" s="11" t="s">
        <v>398</v>
      </c>
      <c r="I35" s="12" t="s">
        <v>28</v>
      </c>
      <c r="J35" s="12" t="s">
        <v>102</v>
      </c>
      <c r="K35" s="12">
        <v>12.0</v>
      </c>
      <c r="L35" s="15" t="s">
        <v>47</v>
      </c>
      <c r="M35" s="17"/>
      <c r="N35" s="17"/>
    </row>
    <row r="36" ht="14.25" customHeight="1">
      <c r="A36" s="19" t="s">
        <v>401</v>
      </c>
      <c r="B36" s="21" t="s">
        <v>52</v>
      </c>
      <c r="C36" s="21" t="s">
        <v>383</v>
      </c>
      <c r="D36" s="19" t="s">
        <v>31</v>
      </c>
      <c r="E36" s="21" t="s">
        <v>395</v>
      </c>
      <c r="F36" s="21" t="s">
        <v>406</v>
      </c>
      <c r="G36" s="21" t="s">
        <v>408</v>
      </c>
      <c r="H36" s="21" t="s">
        <v>411</v>
      </c>
      <c r="I36" s="19" t="s">
        <v>28</v>
      </c>
      <c r="J36" s="19" t="s">
        <v>102</v>
      </c>
      <c r="K36" s="19">
        <v>8.0</v>
      </c>
      <c r="L36" s="15" t="s">
        <v>47</v>
      </c>
      <c r="M36" s="17"/>
      <c r="N36" s="17"/>
    </row>
    <row r="37" ht="14.25" customHeight="1">
      <c r="A37" s="12" t="s">
        <v>413</v>
      </c>
      <c r="B37" s="11" t="s">
        <v>52</v>
      </c>
      <c r="C37" s="11" t="s">
        <v>383</v>
      </c>
      <c r="D37" s="12" t="s">
        <v>31</v>
      </c>
      <c r="E37" s="11" t="s">
        <v>395</v>
      </c>
      <c r="F37" s="11" t="s">
        <v>415</v>
      </c>
      <c r="G37" s="11" t="s">
        <v>416</v>
      </c>
      <c r="H37" s="11" t="s">
        <v>417</v>
      </c>
      <c r="I37" s="12" t="s">
        <v>30</v>
      </c>
      <c r="J37" s="12" t="s">
        <v>75</v>
      </c>
      <c r="K37" s="12">
        <v>10.0</v>
      </c>
      <c r="L37" s="15" t="s">
        <v>47</v>
      </c>
      <c r="M37" s="17"/>
      <c r="N37" s="17"/>
    </row>
    <row r="38" ht="14.25" customHeight="1">
      <c r="A38" s="19" t="s">
        <v>421</v>
      </c>
      <c r="B38" s="21" t="s">
        <v>52</v>
      </c>
      <c r="C38" s="21" t="s">
        <v>383</v>
      </c>
      <c r="D38" s="19" t="s">
        <v>31</v>
      </c>
      <c r="E38" s="21" t="s">
        <v>423</v>
      </c>
      <c r="F38" s="21" t="s">
        <v>424</v>
      </c>
      <c r="G38" s="21" t="s">
        <v>425</v>
      </c>
      <c r="H38" s="21" t="s">
        <v>427</v>
      </c>
      <c r="I38" s="19" t="s">
        <v>28</v>
      </c>
      <c r="J38" s="19" t="s">
        <v>114</v>
      </c>
      <c r="K38" s="19">
        <v>20.0</v>
      </c>
      <c r="L38" s="15" t="s">
        <v>47</v>
      </c>
      <c r="M38" s="17"/>
      <c r="N38" s="17"/>
    </row>
    <row r="39" ht="14.25" customHeight="1">
      <c r="A39" s="12" t="s">
        <v>433</v>
      </c>
      <c r="B39" s="11" t="s">
        <v>52</v>
      </c>
      <c r="C39" s="11" t="s">
        <v>437</v>
      </c>
      <c r="D39" s="12" t="s">
        <v>31</v>
      </c>
      <c r="E39" s="11" t="s">
        <v>438</v>
      </c>
      <c r="F39" s="11" t="s">
        <v>439</v>
      </c>
      <c r="G39" s="11" t="s">
        <v>440</v>
      </c>
      <c r="H39" s="11" t="s">
        <v>442</v>
      </c>
      <c r="I39" s="12" t="s">
        <v>29</v>
      </c>
      <c r="J39" s="12" t="s">
        <v>75</v>
      </c>
      <c r="K39" s="12">
        <v>15.0</v>
      </c>
      <c r="L39" s="15" t="s">
        <v>47</v>
      </c>
      <c r="M39" s="17"/>
      <c r="N39" s="17"/>
    </row>
    <row r="40" ht="14.25" customHeight="1">
      <c r="A40" s="19" t="s">
        <v>447</v>
      </c>
      <c r="B40" s="21" t="s">
        <v>52</v>
      </c>
      <c r="C40" s="21" t="s">
        <v>437</v>
      </c>
      <c r="D40" s="19" t="s">
        <v>31</v>
      </c>
      <c r="E40" s="21" t="s">
        <v>453</v>
      </c>
      <c r="F40" s="21" t="s">
        <v>454</v>
      </c>
      <c r="G40" s="21" t="s">
        <v>455</v>
      </c>
      <c r="H40" s="21" t="s">
        <v>456</v>
      </c>
      <c r="I40" s="19" t="s">
        <v>29</v>
      </c>
      <c r="J40" s="19" t="s">
        <v>75</v>
      </c>
      <c r="K40" s="19">
        <v>18.0</v>
      </c>
      <c r="L40" s="15" t="s">
        <v>47</v>
      </c>
      <c r="M40" s="17"/>
      <c r="N40" s="17"/>
    </row>
    <row r="41" ht="14.25" customHeight="1">
      <c r="A41" s="12" t="s">
        <v>463</v>
      </c>
      <c r="B41" s="11" t="s">
        <v>52</v>
      </c>
      <c r="C41" s="11" t="s">
        <v>437</v>
      </c>
      <c r="D41" s="12" t="s">
        <v>31</v>
      </c>
      <c r="E41" s="11" t="s">
        <v>468</v>
      </c>
      <c r="F41" s="11" t="s">
        <v>469</v>
      </c>
      <c r="G41" s="11" t="s">
        <v>471</v>
      </c>
      <c r="H41" s="11" t="s">
        <v>473</v>
      </c>
      <c r="I41" s="12" t="s">
        <v>29</v>
      </c>
      <c r="J41" s="12" t="s">
        <v>75</v>
      </c>
      <c r="K41" s="12">
        <v>15.0</v>
      </c>
      <c r="L41" s="15" t="s">
        <v>47</v>
      </c>
      <c r="M41" s="17"/>
      <c r="N41" s="17"/>
    </row>
    <row r="42" ht="14.25" customHeight="1">
      <c r="A42" s="19" t="s">
        <v>478</v>
      </c>
      <c r="B42" s="21" t="s">
        <v>52</v>
      </c>
      <c r="C42" s="21" t="s">
        <v>437</v>
      </c>
      <c r="D42" s="19" t="s">
        <v>31</v>
      </c>
      <c r="E42" s="21" t="s">
        <v>468</v>
      </c>
      <c r="F42" s="21" t="s">
        <v>487</v>
      </c>
      <c r="G42" s="21" t="s">
        <v>488</v>
      </c>
      <c r="H42" s="21" t="s">
        <v>490</v>
      </c>
      <c r="I42" s="19" t="s">
        <v>29</v>
      </c>
      <c r="J42" s="19" t="s">
        <v>75</v>
      </c>
      <c r="K42" s="19">
        <v>15.0</v>
      </c>
      <c r="L42" s="15" t="s">
        <v>47</v>
      </c>
      <c r="M42" s="17"/>
      <c r="N42" s="17"/>
    </row>
    <row r="43" ht="14.25" customHeight="1">
      <c r="A43" s="12" t="s">
        <v>493</v>
      </c>
      <c r="B43" s="11" t="s">
        <v>52</v>
      </c>
      <c r="C43" s="11" t="s">
        <v>437</v>
      </c>
      <c r="D43" s="12" t="s">
        <v>31</v>
      </c>
      <c r="E43" s="11" t="s">
        <v>468</v>
      </c>
      <c r="F43" s="11" t="s">
        <v>498</v>
      </c>
      <c r="G43" s="11" t="s">
        <v>499</v>
      </c>
      <c r="H43" s="11" t="s">
        <v>501</v>
      </c>
      <c r="I43" s="12" t="s">
        <v>28</v>
      </c>
      <c r="J43" s="12" t="s">
        <v>102</v>
      </c>
      <c r="K43" s="12">
        <v>20.0</v>
      </c>
      <c r="L43" s="15" t="s">
        <v>47</v>
      </c>
      <c r="M43" s="17"/>
      <c r="N43" s="17"/>
    </row>
    <row r="44" ht="14.25" customHeight="1">
      <c r="A44" s="19" t="s">
        <v>507</v>
      </c>
      <c r="B44" s="21" t="s">
        <v>52</v>
      </c>
      <c r="C44" s="21" t="s">
        <v>437</v>
      </c>
      <c r="D44" s="19" t="s">
        <v>31</v>
      </c>
      <c r="E44" s="21" t="s">
        <v>468</v>
      </c>
      <c r="F44" s="21" t="s">
        <v>511</v>
      </c>
      <c r="G44" s="21" t="s">
        <v>512</v>
      </c>
      <c r="H44" s="21" t="s">
        <v>513</v>
      </c>
      <c r="I44" s="19" t="s">
        <v>29</v>
      </c>
      <c r="J44" s="19" t="s">
        <v>75</v>
      </c>
      <c r="K44" s="19">
        <v>12.0</v>
      </c>
      <c r="L44" s="15" t="s">
        <v>47</v>
      </c>
      <c r="M44" s="17"/>
      <c r="N44" s="17"/>
    </row>
    <row r="45" ht="14.25" customHeight="1">
      <c r="A45" s="12" t="s">
        <v>516</v>
      </c>
      <c r="B45" s="11" t="s">
        <v>52</v>
      </c>
      <c r="C45" s="11" t="s">
        <v>437</v>
      </c>
      <c r="D45" s="12" t="s">
        <v>31</v>
      </c>
      <c r="E45" s="11" t="s">
        <v>521</v>
      </c>
      <c r="F45" s="11" t="s">
        <v>522</v>
      </c>
      <c r="G45" s="11" t="s">
        <v>523</v>
      </c>
      <c r="H45" s="11" t="s">
        <v>525</v>
      </c>
      <c r="I45" s="12" t="s">
        <v>29</v>
      </c>
      <c r="J45" s="12" t="s">
        <v>103</v>
      </c>
      <c r="K45" s="12">
        <v>10.0</v>
      </c>
      <c r="L45" s="15" t="s">
        <v>47</v>
      </c>
      <c r="M45" s="17"/>
      <c r="N45" s="17"/>
    </row>
    <row r="46" ht="14.25" customHeight="1">
      <c r="A46" s="19" t="s">
        <v>529</v>
      </c>
      <c r="B46" s="21" t="s">
        <v>52</v>
      </c>
      <c r="C46" s="21" t="s">
        <v>531</v>
      </c>
      <c r="D46" s="19" t="s">
        <v>31</v>
      </c>
      <c r="E46" s="21" t="s">
        <v>534</v>
      </c>
      <c r="F46" s="21" t="s">
        <v>536</v>
      </c>
      <c r="G46" s="21" t="s">
        <v>537</v>
      </c>
      <c r="H46" s="21" t="s">
        <v>538</v>
      </c>
      <c r="I46" s="19" t="s">
        <v>28</v>
      </c>
      <c r="J46" s="19" t="s">
        <v>103</v>
      </c>
      <c r="K46" s="19">
        <v>20.0</v>
      </c>
      <c r="L46" s="15" t="s">
        <v>47</v>
      </c>
      <c r="M46" s="17"/>
      <c r="N46" s="17"/>
    </row>
    <row r="47" ht="14.25" customHeight="1">
      <c r="A47" s="12" t="s">
        <v>544</v>
      </c>
      <c r="B47" s="11" t="s">
        <v>52</v>
      </c>
      <c r="C47" s="11" t="s">
        <v>531</v>
      </c>
      <c r="D47" s="12" t="s">
        <v>31</v>
      </c>
      <c r="E47" s="11" t="s">
        <v>107</v>
      </c>
      <c r="F47" s="11" t="s">
        <v>549</v>
      </c>
      <c r="G47" s="11" t="s">
        <v>550</v>
      </c>
      <c r="H47" s="11" t="s">
        <v>552</v>
      </c>
      <c r="I47" s="12" t="s">
        <v>29</v>
      </c>
      <c r="J47" s="12" t="s">
        <v>103</v>
      </c>
      <c r="K47" s="12">
        <v>10.0</v>
      </c>
      <c r="L47" s="15" t="s">
        <v>47</v>
      </c>
      <c r="M47" s="17"/>
      <c r="N47" s="17"/>
    </row>
    <row r="48" ht="14.25" customHeight="1">
      <c r="A48" s="19" t="s">
        <v>558</v>
      </c>
      <c r="B48" s="21" t="s">
        <v>52</v>
      </c>
      <c r="C48" s="21" t="s">
        <v>561</v>
      </c>
      <c r="D48" s="19" t="s">
        <v>31</v>
      </c>
      <c r="E48" s="21" t="s">
        <v>564</v>
      </c>
      <c r="F48" s="21" t="s">
        <v>566</v>
      </c>
      <c r="G48" s="21" t="s">
        <v>567</v>
      </c>
      <c r="H48" s="21" t="s">
        <v>569</v>
      </c>
      <c r="I48" s="19" t="s">
        <v>29</v>
      </c>
      <c r="J48" s="19" t="s">
        <v>197</v>
      </c>
      <c r="K48" s="19">
        <v>35.0</v>
      </c>
      <c r="L48" s="15" t="s">
        <v>47</v>
      </c>
      <c r="M48" s="17"/>
      <c r="N48" s="17"/>
    </row>
    <row r="49" ht="14.25" customHeight="1">
      <c r="A49" s="12" t="s">
        <v>574</v>
      </c>
      <c r="B49" s="11" t="s">
        <v>52</v>
      </c>
      <c r="C49" s="11" t="s">
        <v>561</v>
      </c>
      <c r="D49" s="12" t="s">
        <v>31</v>
      </c>
      <c r="E49" s="11" t="s">
        <v>577</v>
      </c>
      <c r="F49" s="11" t="s">
        <v>579</v>
      </c>
      <c r="G49" s="11" t="s">
        <v>582</v>
      </c>
      <c r="H49" s="11" t="s">
        <v>583</v>
      </c>
      <c r="I49" s="12" t="s">
        <v>29</v>
      </c>
      <c r="J49" s="12" t="s">
        <v>75</v>
      </c>
      <c r="K49" s="12">
        <v>35.0</v>
      </c>
      <c r="L49" s="15" t="s">
        <v>47</v>
      </c>
      <c r="M49" s="17"/>
      <c r="N49" s="17"/>
    </row>
    <row r="50" ht="14.25" customHeight="1">
      <c r="A50" s="19" t="s">
        <v>586</v>
      </c>
      <c r="B50" s="21" t="s">
        <v>52</v>
      </c>
      <c r="C50" s="21" t="s">
        <v>589</v>
      </c>
      <c r="D50" s="19" t="s">
        <v>31</v>
      </c>
      <c r="E50" s="21" t="s">
        <v>193</v>
      </c>
      <c r="F50" s="21" t="s">
        <v>594</v>
      </c>
      <c r="G50" s="21" t="s">
        <v>596</v>
      </c>
      <c r="H50" s="21" t="s">
        <v>598</v>
      </c>
      <c r="I50" s="19" t="s">
        <v>28</v>
      </c>
      <c r="J50" s="19" t="s">
        <v>102</v>
      </c>
      <c r="K50" s="19">
        <v>25.0</v>
      </c>
      <c r="L50" s="15" t="s">
        <v>47</v>
      </c>
      <c r="M50" s="17"/>
      <c r="N50" s="17"/>
    </row>
    <row r="51" ht="14.25" customHeight="1">
      <c r="A51" s="12" t="s">
        <v>600</v>
      </c>
      <c r="B51" s="11" t="s">
        <v>52</v>
      </c>
      <c r="C51" s="11" t="s">
        <v>608</v>
      </c>
      <c r="D51" s="12" t="s">
        <v>31</v>
      </c>
      <c r="E51" s="11" t="s">
        <v>611</v>
      </c>
      <c r="F51" s="11" t="s">
        <v>613</v>
      </c>
      <c r="G51" s="11" t="s">
        <v>614</v>
      </c>
      <c r="H51" s="11" t="s">
        <v>615</v>
      </c>
      <c r="I51" s="12" t="s">
        <v>28</v>
      </c>
      <c r="J51" s="12" t="s">
        <v>114</v>
      </c>
      <c r="K51" s="12">
        <v>35.0</v>
      </c>
      <c r="L51" s="15" t="s">
        <v>47</v>
      </c>
      <c r="M51" s="17"/>
      <c r="N51" s="17"/>
    </row>
    <row r="52" ht="14.25" customHeight="1">
      <c r="A52" s="19" t="s">
        <v>621</v>
      </c>
      <c r="B52" s="21" t="s">
        <v>52</v>
      </c>
      <c r="C52" s="21" t="s">
        <v>622</v>
      </c>
      <c r="D52" s="19" t="s">
        <v>33</v>
      </c>
      <c r="E52" s="21" t="s">
        <v>161</v>
      </c>
      <c r="F52" s="21" t="s">
        <v>625</v>
      </c>
      <c r="G52" s="21" t="s">
        <v>627</v>
      </c>
      <c r="H52" s="21" t="s">
        <v>629</v>
      </c>
      <c r="I52" s="19" t="s">
        <v>28</v>
      </c>
      <c r="J52" s="19" t="s">
        <v>75</v>
      </c>
      <c r="K52" s="19">
        <v>12.0</v>
      </c>
      <c r="L52" s="15" t="s">
        <v>47</v>
      </c>
      <c r="M52" s="17"/>
      <c r="N52" s="17"/>
    </row>
    <row r="53" ht="14.25" customHeight="1">
      <c r="A53" s="12" t="s">
        <v>635</v>
      </c>
      <c r="B53" s="11" t="s">
        <v>52</v>
      </c>
      <c r="C53" s="11" t="s">
        <v>622</v>
      </c>
      <c r="D53" s="12" t="s">
        <v>33</v>
      </c>
      <c r="E53" s="11" t="s">
        <v>169</v>
      </c>
      <c r="F53" s="11" t="s">
        <v>639</v>
      </c>
      <c r="G53" s="11" t="s">
        <v>643</v>
      </c>
      <c r="H53" s="11" t="s">
        <v>644</v>
      </c>
      <c r="I53" s="12" t="s">
        <v>28</v>
      </c>
      <c r="J53" s="12" t="s">
        <v>75</v>
      </c>
      <c r="K53" s="12">
        <v>20.0</v>
      </c>
      <c r="L53" s="15" t="s">
        <v>47</v>
      </c>
      <c r="M53" s="17"/>
      <c r="N53" s="17"/>
    </row>
    <row r="54" ht="14.25" customHeight="1">
      <c r="A54" s="19" t="s">
        <v>650</v>
      </c>
      <c r="B54" s="21" t="s">
        <v>52</v>
      </c>
      <c r="C54" s="21" t="s">
        <v>622</v>
      </c>
      <c r="D54" s="19" t="s">
        <v>33</v>
      </c>
      <c r="E54" s="21" t="s">
        <v>169</v>
      </c>
      <c r="F54" s="21" t="s">
        <v>656</v>
      </c>
      <c r="G54" s="21" t="s">
        <v>658</v>
      </c>
      <c r="H54" s="21" t="s">
        <v>660</v>
      </c>
      <c r="I54" s="19" t="s">
        <v>28</v>
      </c>
      <c r="J54" s="19" t="s">
        <v>102</v>
      </c>
      <c r="K54" s="19">
        <v>10.0</v>
      </c>
      <c r="L54" s="15" t="s">
        <v>47</v>
      </c>
      <c r="M54" s="17"/>
      <c r="N54" s="17"/>
    </row>
    <row r="55" ht="14.25" customHeight="1">
      <c r="A55" s="12" t="s">
        <v>664</v>
      </c>
      <c r="B55" s="11" t="s">
        <v>52</v>
      </c>
      <c r="C55" s="11" t="s">
        <v>622</v>
      </c>
      <c r="D55" s="12" t="s">
        <v>33</v>
      </c>
      <c r="E55" s="11" t="s">
        <v>666</v>
      </c>
      <c r="F55" s="11" t="s">
        <v>667</v>
      </c>
      <c r="G55" s="11" t="s">
        <v>668</v>
      </c>
      <c r="H55" s="11" t="s">
        <v>670</v>
      </c>
      <c r="I55" s="12" t="s">
        <v>28</v>
      </c>
      <c r="J55" s="12" t="s">
        <v>75</v>
      </c>
      <c r="K55" s="12">
        <v>25.0</v>
      </c>
      <c r="L55" s="15" t="s">
        <v>47</v>
      </c>
      <c r="M55" s="17"/>
      <c r="N55" s="17"/>
    </row>
    <row r="56" ht="14.25" customHeight="1">
      <c r="A56" s="19" t="s">
        <v>678</v>
      </c>
      <c r="B56" s="21" t="s">
        <v>52</v>
      </c>
      <c r="C56" s="21" t="s">
        <v>622</v>
      </c>
      <c r="D56" s="19" t="s">
        <v>33</v>
      </c>
      <c r="E56" s="21" t="s">
        <v>679</v>
      </c>
      <c r="F56" s="21" t="s">
        <v>680</v>
      </c>
      <c r="G56" s="21" t="s">
        <v>681</v>
      </c>
      <c r="H56" s="21" t="s">
        <v>684</v>
      </c>
      <c r="I56" s="19" t="s">
        <v>28</v>
      </c>
      <c r="J56" s="19" t="s">
        <v>103</v>
      </c>
      <c r="K56" s="19">
        <v>25.0</v>
      </c>
      <c r="L56" s="15" t="s">
        <v>47</v>
      </c>
      <c r="M56" s="17"/>
      <c r="N56" s="17"/>
    </row>
    <row r="57" ht="14.25" customHeight="1">
      <c r="A57" s="12" t="s">
        <v>690</v>
      </c>
      <c r="B57" s="11" t="s">
        <v>52</v>
      </c>
      <c r="C57" s="11" t="s">
        <v>622</v>
      </c>
      <c r="D57" s="12" t="s">
        <v>33</v>
      </c>
      <c r="E57" s="11" t="s">
        <v>169</v>
      </c>
      <c r="F57" s="11" t="s">
        <v>693</v>
      </c>
      <c r="G57" s="11" t="s">
        <v>695</v>
      </c>
      <c r="H57" s="11" t="s">
        <v>698</v>
      </c>
      <c r="I57" s="12" t="s">
        <v>29</v>
      </c>
      <c r="J57" s="12" t="s">
        <v>75</v>
      </c>
      <c r="K57" s="12">
        <v>15.0</v>
      </c>
      <c r="L57" s="15" t="s">
        <v>47</v>
      </c>
      <c r="M57" s="17"/>
      <c r="N57" s="17"/>
    </row>
    <row r="58" ht="14.25" customHeight="1">
      <c r="A58" s="19" t="s">
        <v>704</v>
      </c>
      <c r="B58" s="21" t="s">
        <v>52</v>
      </c>
      <c r="C58" s="21" t="s">
        <v>622</v>
      </c>
      <c r="D58" s="19" t="s">
        <v>33</v>
      </c>
      <c r="E58" s="21" t="s">
        <v>169</v>
      </c>
      <c r="F58" s="21" t="s">
        <v>709</v>
      </c>
      <c r="G58" s="21" t="s">
        <v>714</v>
      </c>
      <c r="H58" s="21" t="s">
        <v>715</v>
      </c>
      <c r="I58" s="19" t="s">
        <v>29</v>
      </c>
      <c r="J58" s="19" t="s">
        <v>75</v>
      </c>
      <c r="K58" s="19">
        <v>20.0</v>
      </c>
      <c r="L58" s="15" t="s">
        <v>47</v>
      </c>
      <c r="M58" s="17"/>
      <c r="N58" s="17"/>
    </row>
    <row r="59" ht="14.25" customHeight="1">
      <c r="A59" s="12" t="s">
        <v>720</v>
      </c>
      <c r="B59" s="11" t="s">
        <v>52</v>
      </c>
      <c r="C59" s="11" t="s">
        <v>722</v>
      </c>
      <c r="D59" s="12" t="s">
        <v>33</v>
      </c>
      <c r="E59" s="11" t="s">
        <v>725</v>
      </c>
      <c r="F59" s="11" t="s">
        <v>727</v>
      </c>
      <c r="G59" s="11" t="s">
        <v>729</v>
      </c>
      <c r="H59" s="11" t="s">
        <v>730</v>
      </c>
      <c r="I59" s="12" t="s">
        <v>29</v>
      </c>
      <c r="J59" s="12" t="s">
        <v>732</v>
      </c>
      <c r="K59" s="12">
        <v>35.0</v>
      </c>
      <c r="L59" s="15" t="s">
        <v>47</v>
      </c>
      <c r="M59" s="17"/>
      <c r="N59" s="17"/>
    </row>
    <row r="60" ht="14.25" customHeight="1">
      <c r="A60" s="19" t="s">
        <v>737</v>
      </c>
      <c r="B60" s="21" t="s">
        <v>52</v>
      </c>
      <c r="C60" s="21" t="s">
        <v>722</v>
      </c>
      <c r="D60" s="19" t="s">
        <v>33</v>
      </c>
      <c r="E60" s="21" t="s">
        <v>743</v>
      </c>
      <c r="F60" s="21" t="s">
        <v>744</v>
      </c>
      <c r="G60" s="21" t="s">
        <v>745</v>
      </c>
      <c r="H60" s="21" t="s">
        <v>746</v>
      </c>
      <c r="I60" s="19" t="s">
        <v>30</v>
      </c>
      <c r="J60" s="19" t="s">
        <v>732</v>
      </c>
      <c r="K60" s="19">
        <v>30.0</v>
      </c>
      <c r="L60" s="15" t="s">
        <v>47</v>
      </c>
      <c r="M60" s="17"/>
      <c r="N60" s="17"/>
    </row>
    <row r="61" ht="14.25" customHeight="1">
      <c r="A61" s="12" t="s">
        <v>753</v>
      </c>
      <c r="B61" s="11" t="s">
        <v>52</v>
      </c>
      <c r="C61" s="11" t="s">
        <v>722</v>
      </c>
      <c r="D61" s="12" t="s">
        <v>33</v>
      </c>
      <c r="E61" s="11" t="s">
        <v>757</v>
      </c>
      <c r="F61" s="11" t="s">
        <v>759</v>
      </c>
      <c r="G61" s="11" t="s">
        <v>760</v>
      </c>
      <c r="H61" s="11" t="s">
        <v>762</v>
      </c>
      <c r="I61" s="12" t="s">
        <v>28</v>
      </c>
      <c r="J61" s="12" t="s">
        <v>732</v>
      </c>
      <c r="K61" s="12">
        <v>45.0</v>
      </c>
      <c r="L61" s="15" t="s">
        <v>47</v>
      </c>
      <c r="M61" s="17"/>
      <c r="N61" s="17"/>
    </row>
    <row r="62" ht="14.25" customHeight="1">
      <c r="A62" s="19" t="s">
        <v>774</v>
      </c>
      <c r="B62" s="21" t="s">
        <v>52</v>
      </c>
      <c r="C62" s="21" t="s">
        <v>776</v>
      </c>
      <c r="D62" s="19" t="s">
        <v>33</v>
      </c>
      <c r="E62" s="21" t="s">
        <v>169</v>
      </c>
      <c r="F62" s="21" t="s">
        <v>778</v>
      </c>
      <c r="G62" s="21" t="s">
        <v>780</v>
      </c>
      <c r="H62" s="21" t="s">
        <v>782</v>
      </c>
      <c r="I62" s="19" t="s">
        <v>30</v>
      </c>
      <c r="J62" s="19" t="s">
        <v>784</v>
      </c>
      <c r="K62" s="19">
        <v>25.0</v>
      </c>
      <c r="L62" s="15" t="s">
        <v>47</v>
      </c>
      <c r="M62" s="17"/>
      <c r="N62" s="17"/>
    </row>
    <row r="63" ht="14.25" customHeight="1"/>
    <row r="64" ht="14.25" customHeight="1">
      <c r="J64" s="3" t="s">
        <v>789</v>
      </c>
      <c r="K64" s="27">
        <f>SUM(K3:K62)</f>
        <v>1061</v>
      </c>
    </row>
    <row r="65" ht="14.25" customHeight="1">
      <c r="J65" s="3" t="s">
        <v>808</v>
      </c>
      <c r="K65" s="28">
        <f>K64/60</f>
        <v>17.68333333</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62"/>
  <mergeCells count="1">
    <mergeCell ref="A1:N1"/>
  </mergeCells>
  <conditionalFormatting sqref="L3:L62">
    <cfRule type="cellIs" dxfId="0" priority="1" operator="equal">
      <formula>"Pass"</formula>
    </cfRule>
  </conditionalFormatting>
  <conditionalFormatting sqref="L3:L62">
    <cfRule type="cellIs" dxfId="1" priority="2" operator="equal">
      <formula>"Fail"</formula>
    </cfRule>
  </conditionalFormatting>
  <conditionalFormatting sqref="L3:L62">
    <cfRule type="cellIs" dxfId="2" priority="3" operator="equal">
      <formula>"Blocked"</formula>
    </cfRule>
  </conditionalFormatting>
  <dataValidations>
    <dataValidation type="list" allowBlank="1" sqref="L3:L62">
      <formula1>"Not Run,Pass,Fail,Blocked,N-A"</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6</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60</v>
      </c>
      <c r="B3" s="11" t="s">
        <v>65</v>
      </c>
      <c r="C3" s="11" t="s">
        <v>67</v>
      </c>
      <c r="D3" s="12" t="s">
        <v>31</v>
      </c>
      <c r="E3" s="11" t="s">
        <v>68</v>
      </c>
      <c r="F3" s="11" t="s">
        <v>70</v>
      </c>
      <c r="G3" s="11" t="s">
        <v>71</v>
      </c>
      <c r="H3" s="11" t="s">
        <v>73</v>
      </c>
      <c r="I3" s="12" t="s">
        <v>28</v>
      </c>
      <c r="J3" s="12" t="s">
        <v>75</v>
      </c>
      <c r="K3" s="12">
        <v>12.0</v>
      </c>
      <c r="L3" s="15" t="s">
        <v>47</v>
      </c>
      <c r="M3" s="17"/>
      <c r="N3" s="17"/>
    </row>
    <row r="4" ht="14.25" customHeight="1">
      <c r="A4" s="19" t="s">
        <v>91</v>
      </c>
      <c r="B4" s="21" t="s">
        <v>65</v>
      </c>
      <c r="C4" s="21" t="s">
        <v>67</v>
      </c>
      <c r="D4" s="19" t="s">
        <v>31</v>
      </c>
      <c r="E4" s="21" t="s">
        <v>94</v>
      </c>
      <c r="F4" s="21" t="s">
        <v>96</v>
      </c>
      <c r="G4" s="21" t="s">
        <v>98</v>
      </c>
      <c r="H4" s="21" t="s">
        <v>100</v>
      </c>
      <c r="I4" s="19" t="s">
        <v>28</v>
      </c>
      <c r="J4" s="19" t="s">
        <v>102</v>
      </c>
      <c r="K4" s="19">
        <v>20.0</v>
      </c>
      <c r="L4" s="15" t="s">
        <v>47</v>
      </c>
      <c r="M4" s="17"/>
      <c r="N4" s="17"/>
    </row>
    <row r="5" ht="14.25" customHeight="1">
      <c r="A5" s="12" t="s">
        <v>104</v>
      </c>
      <c r="B5" s="11" t="s">
        <v>65</v>
      </c>
      <c r="C5" s="11" t="s">
        <v>67</v>
      </c>
      <c r="D5" s="12" t="s">
        <v>31</v>
      </c>
      <c r="E5" s="11" t="s">
        <v>106</v>
      </c>
      <c r="F5" s="11" t="s">
        <v>108</v>
      </c>
      <c r="G5" s="11" t="s">
        <v>110</v>
      </c>
      <c r="H5" s="11" t="s">
        <v>112</v>
      </c>
      <c r="I5" s="12" t="s">
        <v>29</v>
      </c>
      <c r="J5" s="12" t="s">
        <v>103</v>
      </c>
      <c r="K5" s="12">
        <v>18.0</v>
      </c>
      <c r="L5" s="15" t="s">
        <v>47</v>
      </c>
      <c r="M5" s="17"/>
      <c r="N5" s="17"/>
    </row>
    <row r="6" ht="14.25" customHeight="1">
      <c r="A6" s="19" t="s">
        <v>115</v>
      </c>
      <c r="B6" s="21" t="s">
        <v>65</v>
      </c>
      <c r="C6" s="21" t="s">
        <v>67</v>
      </c>
      <c r="D6" s="19" t="s">
        <v>31</v>
      </c>
      <c r="E6" s="21" t="s">
        <v>94</v>
      </c>
      <c r="F6" s="21" t="s">
        <v>118</v>
      </c>
      <c r="G6" s="21" t="s">
        <v>120</v>
      </c>
      <c r="H6" s="21" t="s">
        <v>122</v>
      </c>
      <c r="I6" s="19" t="s">
        <v>29</v>
      </c>
      <c r="J6" s="19" t="s">
        <v>124</v>
      </c>
      <c r="K6" s="19">
        <v>25.0</v>
      </c>
      <c r="L6" s="15" t="s">
        <v>47</v>
      </c>
      <c r="M6" s="17"/>
      <c r="N6" s="17"/>
    </row>
    <row r="7" ht="14.25" customHeight="1">
      <c r="A7" s="12" t="s">
        <v>125</v>
      </c>
      <c r="B7" s="11" t="s">
        <v>65</v>
      </c>
      <c r="C7" s="11" t="s">
        <v>127</v>
      </c>
      <c r="D7" s="12" t="s">
        <v>31</v>
      </c>
      <c r="E7" s="11" t="s">
        <v>94</v>
      </c>
      <c r="F7" s="11" t="s">
        <v>128</v>
      </c>
      <c r="G7" s="11" t="s">
        <v>130</v>
      </c>
      <c r="H7" s="11" t="s">
        <v>133</v>
      </c>
      <c r="I7" s="12" t="s">
        <v>29</v>
      </c>
      <c r="J7" s="12" t="s">
        <v>75</v>
      </c>
      <c r="K7" s="12">
        <v>10.0</v>
      </c>
      <c r="L7" s="15" t="s">
        <v>47</v>
      </c>
      <c r="M7" s="17"/>
      <c r="N7" s="17"/>
    </row>
    <row r="8" ht="14.25" customHeight="1">
      <c r="A8" s="19" t="s">
        <v>135</v>
      </c>
      <c r="B8" s="21" t="s">
        <v>65</v>
      </c>
      <c r="C8" s="21" t="s">
        <v>127</v>
      </c>
      <c r="D8" s="19" t="s">
        <v>31</v>
      </c>
      <c r="E8" s="21" t="s">
        <v>140</v>
      </c>
      <c r="F8" s="21" t="s">
        <v>141</v>
      </c>
      <c r="G8" s="21" t="s">
        <v>142</v>
      </c>
      <c r="H8" s="21" t="s">
        <v>144</v>
      </c>
      <c r="I8" s="19" t="s">
        <v>30</v>
      </c>
      <c r="J8" s="19" t="s">
        <v>75</v>
      </c>
      <c r="K8" s="19">
        <v>10.0</v>
      </c>
      <c r="L8" s="15" t="s">
        <v>47</v>
      </c>
      <c r="M8" s="17"/>
      <c r="N8" s="17"/>
    </row>
    <row r="9" ht="14.25" customHeight="1">
      <c r="A9" s="12" t="s">
        <v>149</v>
      </c>
      <c r="B9" s="11" t="s">
        <v>65</v>
      </c>
      <c r="C9" s="11" t="s">
        <v>150</v>
      </c>
      <c r="D9" s="12" t="s">
        <v>31</v>
      </c>
      <c r="E9" s="11" t="s">
        <v>94</v>
      </c>
      <c r="F9" s="11" t="s">
        <v>152</v>
      </c>
      <c r="G9" s="11" t="s">
        <v>155</v>
      </c>
      <c r="H9" s="11" t="s">
        <v>158</v>
      </c>
      <c r="I9" s="12" t="s">
        <v>29</v>
      </c>
      <c r="J9" s="12" t="s">
        <v>75</v>
      </c>
      <c r="K9" s="12">
        <v>10.0</v>
      </c>
      <c r="L9" s="15" t="s">
        <v>47</v>
      </c>
      <c r="M9" s="17"/>
      <c r="N9" s="17"/>
    </row>
    <row r="10" ht="14.25" customHeight="1">
      <c r="A10" s="19" t="s">
        <v>160</v>
      </c>
      <c r="B10" s="21" t="s">
        <v>65</v>
      </c>
      <c r="C10" s="21" t="s">
        <v>150</v>
      </c>
      <c r="D10" s="19" t="s">
        <v>31</v>
      </c>
      <c r="E10" s="21" t="s">
        <v>94</v>
      </c>
      <c r="F10" s="21" t="s">
        <v>165</v>
      </c>
      <c r="G10" s="21" t="s">
        <v>166</v>
      </c>
      <c r="H10" s="21" t="s">
        <v>167</v>
      </c>
      <c r="I10" s="19" t="s">
        <v>30</v>
      </c>
      <c r="J10" s="19" t="s">
        <v>75</v>
      </c>
      <c r="K10" s="19">
        <v>10.0</v>
      </c>
      <c r="L10" s="15" t="s">
        <v>47</v>
      </c>
      <c r="M10" s="17"/>
      <c r="N10" s="17"/>
    </row>
    <row r="11" ht="14.25" customHeight="1">
      <c r="A11" s="12" t="s">
        <v>173</v>
      </c>
      <c r="B11" s="11" t="s">
        <v>65</v>
      </c>
      <c r="C11" s="11" t="s">
        <v>150</v>
      </c>
      <c r="D11" s="12" t="s">
        <v>31</v>
      </c>
      <c r="E11" s="11" t="s">
        <v>94</v>
      </c>
      <c r="F11" s="11" t="s">
        <v>175</v>
      </c>
      <c r="G11" s="11" t="s">
        <v>176</v>
      </c>
      <c r="H11" s="11" t="s">
        <v>177</v>
      </c>
      <c r="I11" s="12" t="s">
        <v>30</v>
      </c>
      <c r="J11" s="12" t="s">
        <v>75</v>
      </c>
      <c r="K11" s="12">
        <v>10.0</v>
      </c>
      <c r="L11" s="15" t="s">
        <v>47</v>
      </c>
      <c r="M11" s="17"/>
      <c r="N11" s="17"/>
    </row>
    <row r="12" ht="14.25" customHeight="1">
      <c r="A12" s="19" t="s">
        <v>181</v>
      </c>
      <c r="B12" s="21" t="s">
        <v>65</v>
      </c>
      <c r="C12" s="21" t="s">
        <v>150</v>
      </c>
      <c r="D12" s="19" t="s">
        <v>31</v>
      </c>
      <c r="E12" s="21" t="s">
        <v>94</v>
      </c>
      <c r="F12" s="21" t="s">
        <v>188</v>
      </c>
      <c r="G12" s="21" t="s">
        <v>190</v>
      </c>
      <c r="H12" s="21" t="s">
        <v>192</v>
      </c>
      <c r="I12" s="19" t="s">
        <v>30</v>
      </c>
      <c r="J12" s="19" t="s">
        <v>75</v>
      </c>
      <c r="K12" s="19">
        <v>12.0</v>
      </c>
      <c r="L12" s="15" t="s">
        <v>47</v>
      </c>
      <c r="M12" s="17"/>
      <c r="N12" s="17"/>
    </row>
    <row r="13" ht="14.25" customHeight="1">
      <c r="A13" s="12" t="s">
        <v>198</v>
      </c>
      <c r="B13" s="11" t="s">
        <v>65</v>
      </c>
      <c r="C13" s="11" t="s">
        <v>200</v>
      </c>
      <c r="D13" s="12" t="s">
        <v>31</v>
      </c>
      <c r="E13" s="11" t="s">
        <v>94</v>
      </c>
      <c r="F13" s="11" t="s">
        <v>201</v>
      </c>
      <c r="G13" s="11" t="s">
        <v>203</v>
      </c>
      <c r="H13" s="11" t="s">
        <v>206</v>
      </c>
      <c r="I13" s="12" t="s">
        <v>28</v>
      </c>
      <c r="J13" s="12" t="s">
        <v>75</v>
      </c>
      <c r="K13" s="12">
        <v>12.0</v>
      </c>
      <c r="L13" s="15" t="s">
        <v>47</v>
      </c>
      <c r="M13" s="17"/>
      <c r="N13" s="17"/>
    </row>
    <row r="14" ht="14.25" customHeight="1">
      <c r="A14" s="19" t="s">
        <v>209</v>
      </c>
      <c r="B14" s="21" t="s">
        <v>65</v>
      </c>
      <c r="C14" s="21" t="s">
        <v>200</v>
      </c>
      <c r="D14" s="19" t="s">
        <v>31</v>
      </c>
      <c r="E14" s="21" t="s">
        <v>213</v>
      </c>
      <c r="F14" s="21" t="s">
        <v>214</v>
      </c>
      <c r="G14" s="21" t="s">
        <v>216</v>
      </c>
      <c r="H14" s="21" t="s">
        <v>217</v>
      </c>
      <c r="I14" s="19" t="s">
        <v>29</v>
      </c>
      <c r="J14" s="19" t="s">
        <v>75</v>
      </c>
      <c r="K14" s="19">
        <v>15.0</v>
      </c>
      <c r="L14" s="15" t="s">
        <v>47</v>
      </c>
      <c r="M14" s="17"/>
      <c r="N14" s="17"/>
    </row>
    <row r="15" ht="14.25" customHeight="1">
      <c r="A15" s="12" t="s">
        <v>222</v>
      </c>
      <c r="B15" s="11" t="s">
        <v>65</v>
      </c>
      <c r="C15" s="11" t="s">
        <v>200</v>
      </c>
      <c r="D15" s="12" t="s">
        <v>31</v>
      </c>
      <c r="E15" s="11" t="s">
        <v>213</v>
      </c>
      <c r="F15" s="11" t="s">
        <v>230</v>
      </c>
      <c r="G15" s="11" t="s">
        <v>231</v>
      </c>
      <c r="H15" s="11" t="s">
        <v>232</v>
      </c>
      <c r="I15" s="12" t="s">
        <v>29</v>
      </c>
      <c r="J15" s="12" t="s">
        <v>102</v>
      </c>
      <c r="K15" s="12">
        <v>25.0</v>
      </c>
      <c r="L15" s="15" t="s">
        <v>47</v>
      </c>
      <c r="M15" s="17"/>
      <c r="N15" s="17"/>
    </row>
    <row r="16" ht="14.25" customHeight="1">
      <c r="A16" s="19" t="s">
        <v>237</v>
      </c>
      <c r="B16" s="21" t="s">
        <v>65</v>
      </c>
      <c r="C16" s="21" t="s">
        <v>200</v>
      </c>
      <c r="D16" s="19" t="s">
        <v>31</v>
      </c>
      <c r="E16" s="21" t="s">
        <v>239</v>
      </c>
      <c r="F16" s="21" t="s">
        <v>241</v>
      </c>
      <c r="G16" s="21" t="s">
        <v>243</v>
      </c>
      <c r="H16" s="21" t="s">
        <v>245</v>
      </c>
      <c r="I16" s="19" t="s">
        <v>28</v>
      </c>
      <c r="J16" s="19" t="s">
        <v>102</v>
      </c>
      <c r="K16" s="19">
        <v>25.0</v>
      </c>
      <c r="L16" s="15" t="s">
        <v>47</v>
      </c>
      <c r="M16" s="17"/>
      <c r="N16" s="17"/>
    </row>
    <row r="17" ht="14.25" customHeight="1">
      <c r="A17" s="12" t="s">
        <v>248</v>
      </c>
      <c r="B17" s="11" t="s">
        <v>65</v>
      </c>
      <c r="C17" s="11" t="s">
        <v>200</v>
      </c>
      <c r="D17" s="12" t="s">
        <v>31</v>
      </c>
      <c r="E17" s="11" t="s">
        <v>252</v>
      </c>
      <c r="F17" s="11" t="s">
        <v>254</v>
      </c>
      <c r="G17" s="11" t="s">
        <v>255</v>
      </c>
      <c r="H17" s="11" t="s">
        <v>256</v>
      </c>
      <c r="I17" s="12" t="s">
        <v>28</v>
      </c>
      <c r="J17" s="12" t="s">
        <v>102</v>
      </c>
      <c r="K17" s="12">
        <v>25.0</v>
      </c>
      <c r="L17" s="15" t="s">
        <v>47</v>
      </c>
      <c r="M17" s="17"/>
      <c r="N17" s="17"/>
    </row>
    <row r="18" ht="14.25" customHeight="1">
      <c r="A18" s="19" t="s">
        <v>262</v>
      </c>
      <c r="B18" s="21" t="s">
        <v>65</v>
      </c>
      <c r="C18" s="21" t="s">
        <v>200</v>
      </c>
      <c r="D18" s="19" t="s">
        <v>31</v>
      </c>
      <c r="E18" s="21" t="s">
        <v>264</v>
      </c>
      <c r="F18" s="21" t="s">
        <v>265</v>
      </c>
      <c r="G18" s="21" t="s">
        <v>266</v>
      </c>
      <c r="H18" s="21" t="s">
        <v>268</v>
      </c>
      <c r="I18" s="19" t="s">
        <v>28</v>
      </c>
      <c r="J18" s="19" t="s">
        <v>102</v>
      </c>
      <c r="K18" s="19">
        <v>30.0</v>
      </c>
      <c r="L18" s="15" t="s">
        <v>47</v>
      </c>
      <c r="M18" s="17"/>
      <c r="N18" s="17"/>
    </row>
    <row r="19" ht="14.25" customHeight="1">
      <c r="A19" s="12" t="s">
        <v>273</v>
      </c>
      <c r="B19" s="11" t="s">
        <v>65</v>
      </c>
      <c r="C19" s="11" t="s">
        <v>200</v>
      </c>
      <c r="D19" s="12" t="s">
        <v>31</v>
      </c>
      <c r="E19" s="11" t="s">
        <v>274</v>
      </c>
      <c r="F19" s="11" t="s">
        <v>275</v>
      </c>
      <c r="G19" s="11" t="s">
        <v>278</v>
      </c>
      <c r="H19" s="11" t="s">
        <v>279</v>
      </c>
      <c r="I19" s="12" t="s">
        <v>29</v>
      </c>
      <c r="J19" s="12" t="s">
        <v>102</v>
      </c>
      <c r="K19" s="12">
        <v>25.0</v>
      </c>
      <c r="L19" s="15" t="s">
        <v>47</v>
      </c>
      <c r="M19" s="17"/>
      <c r="N19" s="17"/>
    </row>
    <row r="20" ht="14.25" customHeight="1">
      <c r="A20" s="19" t="s">
        <v>284</v>
      </c>
      <c r="B20" s="21" t="s">
        <v>65</v>
      </c>
      <c r="C20" s="21" t="s">
        <v>200</v>
      </c>
      <c r="D20" s="19" t="s">
        <v>31</v>
      </c>
      <c r="E20" s="21" t="s">
        <v>285</v>
      </c>
      <c r="F20" s="21" t="s">
        <v>286</v>
      </c>
      <c r="G20" s="21" t="s">
        <v>287</v>
      </c>
      <c r="H20" s="21" t="s">
        <v>289</v>
      </c>
      <c r="I20" s="19" t="s">
        <v>29</v>
      </c>
      <c r="J20" s="19" t="s">
        <v>197</v>
      </c>
      <c r="K20" s="19">
        <v>15.0</v>
      </c>
      <c r="L20" s="15" t="s">
        <v>47</v>
      </c>
      <c r="M20" s="17"/>
      <c r="N20" s="17"/>
    </row>
    <row r="21" ht="14.25" customHeight="1">
      <c r="A21" s="12" t="s">
        <v>294</v>
      </c>
      <c r="B21" s="11" t="s">
        <v>65</v>
      </c>
      <c r="C21" s="11" t="s">
        <v>200</v>
      </c>
      <c r="D21" s="12" t="s">
        <v>31</v>
      </c>
      <c r="E21" s="11" t="s">
        <v>295</v>
      </c>
      <c r="F21" s="11" t="s">
        <v>296</v>
      </c>
      <c r="G21" s="11" t="s">
        <v>297</v>
      </c>
      <c r="H21" s="11" t="s">
        <v>299</v>
      </c>
      <c r="I21" s="12" t="s">
        <v>29</v>
      </c>
      <c r="J21" s="12" t="s">
        <v>75</v>
      </c>
      <c r="K21" s="12">
        <v>18.0</v>
      </c>
      <c r="L21" s="15" t="s">
        <v>47</v>
      </c>
      <c r="M21" s="17"/>
      <c r="N21" s="17"/>
    </row>
    <row r="22" ht="14.25" customHeight="1">
      <c r="A22" s="19" t="s">
        <v>301</v>
      </c>
      <c r="B22" s="21" t="s">
        <v>65</v>
      </c>
      <c r="C22" s="21" t="s">
        <v>200</v>
      </c>
      <c r="D22" s="19" t="s">
        <v>31</v>
      </c>
      <c r="E22" s="21" t="s">
        <v>304</v>
      </c>
      <c r="F22" s="21" t="s">
        <v>305</v>
      </c>
      <c r="G22" s="21" t="s">
        <v>307</v>
      </c>
      <c r="H22" s="21" t="s">
        <v>308</v>
      </c>
      <c r="I22" s="19" t="s">
        <v>28</v>
      </c>
      <c r="J22" s="19" t="s">
        <v>102</v>
      </c>
      <c r="K22" s="19">
        <v>25.0</v>
      </c>
      <c r="L22" s="15" t="s">
        <v>47</v>
      </c>
      <c r="M22" s="17"/>
      <c r="N22" s="17"/>
    </row>
    <row r="23" ht="14.25" customHeight="1">
      <c r="A23" s="12" t="s">
        <v>310</v>
      </c>
      <c r="B23" s="11" t="s">
        <v>65</v>
      </c>
      <c r="C23" s="11" t="s">
        <v>200</v>
      </c>
      <c r="D23" s="12" t="s">
        <v>31</v>
      </c>
      <c r="E23" s="11" t="s">
        <v>311</v>
      </c>
      <c r="F23" s="11" t="s">
        <v>313</v>
      </c>
      <c r="G23" s="11" t="s">
        <v>315</v>
      </c>
      <c r="H23" s="11" t="s">
        <v>317</v>
      </c>
      <c r="I23" s="12" t="s">
        <v>29</v>
      </c>
      <c r="J23" s="12" t="s">
        <v>75</v>
      </c>
      <c r="K23" s="12">
        <v>12.0</v>
      </c>
      <c r="L23" s="15" t="s">
        <v>47</v>
      </c>
      <c r="M23" s="17"/>
      <c r="N23" s="17"/>
    </row>
    <row r="24" ht="14.25" customHeight="1">
      <c r="A24" s="19" t="s">
        <v>319</v>
      </c>
      <c r="B24" s="21" t="s">
        <v>65</v>
      </c>
      <c r="C24" s="21" t="s">
        <v>200</v>
      </c>
      <c r="D24" s="19" t="s">
        <v>31</v>
      </c>
      <c r="E24" s="21" t="s">
        <v>213</v>
      </c>
      <c r="F24" s="21" t="s">
        <v>322</v>
      </c>
      <c r="G24" s="21" t="s">
        <v>323</v>
      </c>
      <c r="H24" s="21" t="s">
        <v>325</v>
      </c>
      <c r="I24" s="19" t="s">
        <v>30</v>
      </c>
      <c r="J24" s="19" t="s">
        <v>75</v>
      </c>
      <c r="K24" s="19">
        <v>15.0</v>
      </c>
      <c r="L24" s="15" t="s">
        <v>47</v>
      </c>
      <c r="M24" s="17"/>
      <c r="N24" s="17"/>
    </row>
    <row r="25" ht="14.25" customHeight="1">
      <c r="A25" s="12" t="s">
        <v>329</v>
      </c>
      <c r="B25" s="11" t="s">
        <v>65</v>
      </c>
      <c r="C25" s="11" t="s">
        <v>330</v>
      </c>
      <c r="D25" s="12" t="s">
        <v>31</v>
      </c>
      <c r="E25" s="11" t="s">
        <v>332</v>
      </c>
      <c r="F25" s="11" t="s">
        <v>333</v>
      </c>
      <c r="G25" s="11" t="s">
        <v>334</v>
      </c>
      <c r="H25" s="11" t="s">
        <v>336</v>
      </c>
      <c r="I25" s="12" t="s">
        <v>28</v>
      </c>
      <c r="J25" s="12" t="s">
        <v>102</v>
      </c>
      <c r="K25" s="12">
        <v>20.0</v>
      </c>
      <c r="L25" s="15" t="s">
        <v>47</v>
      </c>
      <c r="M25" s="17"/>
      <c r="N25" s="17"/>
    </row>
    <row r="26" ht="14.25" customHeight="1">
      <c r="A26" s="19" t="s">
        <v>340</v>
      </c>
      <c r="B26" s="21" t="s">
        <v>65</v>
      </c>
      <c r="C26" s="21" t="s">
        <v>330</v>
      </c>
      <c r="D26" s="19" t="s">
        <v>31</v>
      </c>
      <c r="E26" s="21" t="s">
        <v>341</v>
      </c>
      <c r="F26" s="21" t="s">
        <v>343</v>
      </c>
      <c r="G26" s="21" t="s">
        <v>344</v>
      </c>
      <c r="H26" s="21" t="s">
        <v>346</v>
      </c>
      <c r="I26" s="19" t="s">
        <v>28</v>
      </c>
      <c r="J26" s="19" t="s">
        <v>102</v>
      </c>
      <c r="K26" s="19">
        <v>20.0</v>
      </c>
      <c r="L26" s="15" t="s">
        <v>47</v>
      </c>
      <c r="M26" s="17"/>
      <c r="N26" s="17"/>
    </row>
    <row r="27" ht="14.25" customHeight="1">
      <c r="A27" s="12" t="s">
        <v>349</v>
      </c>
      <c r="B27" s="11" t="s">
        <v>65</v>
      </c>
      <c r="C27" s="11" t="s">
        <v>330</v>
      </c>
      <c r="D27" s="12" t="s">
        <v>31</v>
      </c>
      <c r="E27" s="11" t="s">
        <v>341</v>
      </c>
      <c r="F27" s="11" t="s">
        <v>353</v>
      </c>
      <c r="G27" s="11" t="s">
        <v>354</v>
      </c>
      <c r="H27" s="11" t="s">
        <v>356</v>
      </c>
      <c r="I27" s="12" t="s">
        <v>29</v>
      </c>
      <c r="J27" s="12" t="s">
        <v>102</v>
      </c>
      <c r="K27" s="12">
        <v>25.0</v>
      </c>
      <c r="L27" s="15" t="s">
        <v>47</v>
      </c>
      <c r="M27" s="17"/>
      <c r="N27" s="17"/>
    </row>
    <row r="28" ht="14.25" customHeight="1">
      <c r="A28" s="19" t="s">
        <v>361</v>
      </c>
      <c r="B28" s="21" t="s">
        <v>65</v>
      </c>
      <c r="C28" s="21" t="s">
        <v>330</v>
      </c>
      <c r="D28" s="19" t="s">
        <v>31</v>
      </c>
      <c r="E28" s="21" t="s">
        <v>362</v>
      </c>
      <c r="F28" s="21" t="s">
        <v>363</v>
      </c>
      <c r="G28" s="21" t="s">
        <v>364</v>
      </c>
      <c r="H28" s="21" t="s">
        <v>365</v>
      </c>
      <c r="I28" s="19" t="s">
        <v>29</v>
      </c>
      <c r="J28" s="19" t="s">
        <v>102</v>
      </c>
      <c r="K28" s="19">
        <v>30.0</v>
      </c>
      <c r="L28" s="15" t="s">
        <v>47</v>
      </c>
      <c r="M28" s="17"/>
      <c r="N28" s="17"/>
    </row>
    <row r="29" ht="14.25" customHeight="1">
      <c r="A29" s="12" t="s">
        <v>369</v>
      </c>
      <c r="B29" s="11" t="s">
        <v>65</v>
      </c>
      <c r="C29" s="11" t="s">
        <v>330</v>
      </c>
      <c r="D29" s="12" t="s">
        <v>31</v>
      </c>
      <c r="E29" s="11" t="s">
        <v>370</v>
      </c>
      <c r="F29" s="11" t="s">
        <v>371</v>
      </c>
      <c r="G29" s="11" t="s">
        <v>372</v>
      </c>
      <c r="H29" s="11" t="s">
        <v>373</v>
      </c>
      <c r="I29" s="12" t="s">
        <v>28</v>
      </c>
      <c r="J29" s="12" t="s">
        <v>75</v>
      </c>
      <c r="K29" s="12">
        <v>15.0</v>
      </c>
      <c r="L29" s="15" t="s">
        <v>47</v>
      </c>
      <c r="M29" s="17"/>
      <c r="N29" s="17"/>
    </row>
    <row r="30" ht="14.25" customHeight="1">
      <c r="A30" s="19" t="s">
        <v>377</v>
      </c>
      <c r="B30" s="21" t="s">
        <v>65</v>
      </c>
      <c r="C30" s="21" t="s">
        <v>378</v>
      </c>
      <c r="D30" s="19" t="s">
        <v>31</v>
      </c>
      <c r="E30" s="21" t="s">
        <v>94</v>
      </c>
      <c r="F30" s="21" t="s">
        <v>379</v>
      </c>
      <c r="G30" s="21" t="s">
        <v>381</v>
      </c>
      <c r="H30" s="21" t="s">
        <v>382</v>
      </c>
      <c r="I30" s="19" t="s">
        <v>29</v>
      </c>
      <c r="J30" s="19" t="s">
        <v>197</v>
      </c>
      <c r="K30" s="19">
        <v>12.0</v>
      </c>
      <c r="L30" s="15" t="s">
        <v>47</v>
      </c>
      <c r="M30" s="17"/>
      <c r="N30" s="17"/>
    </row>
    <row r="31" ht="14.25" customHeight="1">
      <c r="A31" s="12" t="s">
        <v>386</v>
      </c>
      <c r="B31" s="11" t="s">
        <v>65</v>
      </c>
      <c r="C31" s="11" t="s">
        <v>378</v>
      </c>
      <c r="D31" s="12" t="s">
        <v>31</v>
      </c>
      <c r="E31" s="11" t="s">
        <v>400</v>
      </c>
      <c r="F31" s="11" t="s">
        <v>402</v>
      </c>
      <c r="G31" s="11" t="s">
        <v>404</v>
      </c>
      <c r="H31" s="11" t="s">
        <v>409</v>
      </c>
      <c r="I31" s="12" t="s">
        <v>28</v>
      </c>
      <c r="J31" s="12" t="s">
        <v>75</v>
      </c>
      <c r="K31" s="12">
        <v>20.0</v>
      </c>
      <c r="L31" s="15" t="s">
        <v>47</v>
      </c>
      <c r="M31" s="17"/>
      <c r="N31" s="17"/>
    </row>
    <row r="32" ht="14.25" customHeight="1">
      <c r="A32" s="19" t="s">
        <v>426</v>
      </c>
      <c r="B32" s="21" t="s">
        <v>65</v>
      </c>
      <c r="C32" s="21" t="s">
        <v>378</v>
      </c>
      <c r="D32" s="19" t="s">
        <v>31</v>
      </c>
      <c r="E32" s="21" t="s">
        <v>400</v>
      </c>
      <c r="F32" s="21" t="s">
        <v>431</v>
      </c>
      <c r="G32" s="21" t="s">
        <v>435</v>
      </c>
      <c r="H32" s="21" t="s">
        <v>436</v>
      </c>
      <c r="I32" s="19" t="s">
        <v>28</v>
      </c>
      <c r="J32" s="19" t="s">
        <v>103</v>
      </c>
      <c r="K32" s="19">
        <v>25.0</v>
      </c>
      <c r="L32" s="15" t="s">
        <v>47</v>
      </c>
      <c r="M32" s="17"/>
      <c r="N32" s="17"/>
    </row>
    <row r="33" ht="14.25" customHeight="1">
      <c r="A33" s="12" t="s">
        <v>443</v>
      </c>
      <c r="B33" s="11" t="s">
        <v>65</v>
      </c>
      <c r="C33" s="11" t="s">
        <v>378</v>
      </c>
      <c r="D33" s="12" t="s">
        <v>31</v>
      </c>
      <c r="E33" s="11" t="s">
        <v>400</v>
      </c>
      <c r="F33" s="11" t="s">
        <v>446</v>
      </c>
      <c r="G33" s="11" t="s">
        <v>449</v>
      </c>
      <c r="H33" s="11" t="s">
        <v>452</v>
      </c>
      <c r="I33" s="12" t="s">
        <v>29</v>
      </c>
      <c r="J33" s="12" t="s">
        <v>103</v>
      </c>
      <c r="K33" s="12">
        <v>12.0</v>
      </c>
      <c r="L33" s="15" t="s">
        <v>47</v>
      </c>
      <c r="M33" s="17"/>
      <c r="N33" s="17"/>
    </row>
    <row r="34" ht="14.25" customHeight="1">
      <c r="A34" s="19" t="s">
        <v>458</v>
      </c>
      <c r="B34" s="21" t="s">
        <v>65</v>
      </c>
      <c r="C34" s="21" t="s">
        <v>378</v>
      </c>
      <c r="D34" s="19" t="s">
        <v>31</v>
      </c>
      <c r="E34" s="21" t="s">
        <v>460</v>
      </c>
      <c r="F34" s="21" t="s">
        <v>462</v>
      </c>
      <c r="G34" s="21" t="s">
        <v>465</v>
      </c>
      <c r="H34" s="21" t="s">
        <v>467</v>
      </c>
      <c r="I34" s="19" t="s">
        <v>29</v>
      </c>
      <c r="J34" s="19" t="s">
        <v>75</v>
      </c>
      <c r="K34" s="19">
        <v>12.0</v>
      </c>
      <c r="L34" s="15" t="s">
        <v>47</v>
      </c>
      <c r="M34" s="17"/>
      <c r="N34" s="17"/>
    </row>
    <row r="35" ht="14.25" customHeight="1">
      <c r="A35" s="12" t="s">
        <v>479</v>
      </c>
      <c r="B35" s="11" t="s">
        <v>65</v>
      </c>
      <c r="C35" s="11" t="s">
        <v>378</v>
      </c>
      <c r="D35" s="12" t="s">
        <v>31</v>
      </c>
      <c r="E35" s="11" t="s">
        <v>400</v>
      </c>
      <c r="F35" s="11" t="s">
        <v>481</v>
      </c>
      <c r="G35" s="11" t="s">
        <v>482</v>
      </c>
      <c r="H35" s="11" t="s">
        <v>483</v>
      </c>
      <c r="I35" s="12" t="s">
        <v>29</v>
      </c>
      <c r="J35" s="12" t="s">
        <v>75</v>
      </c>
      <c r="K35" s="12">
        <v>25.0</v>
      </c>
      <c r="L35" s="15" t="s">
        <v>47</v>
      </c>
      <c r="M35" s="17"/>
      <c r="N35" s="17"/>
    </row>
    <row r="36" ht="14.25" customHeight="1">
      <c r="A36" s="19" t="s">
        <v>491</v>
      </c>
      <c r="B36" s="21" t="s">
        <v>65</v>
      </c>
      <c r="C36" s="21" t="s">
        <v>492</v>
      </c>
      <c r="D36" s="19" t="s">
        <v>31</v>
      </c>
      <c r="E36" s="21" t="s">
        <v>94</v>
      </c>
      <c r="F36" s="21" t="s">
        <v>494</v>
      </c>
      <c r="G36" s="21" t="s">
        <v>495</v>
      </c>
      <c r="H36" s="21" t="s">
        <v>497</v>
      </c>
      <c r="I36" s="19" t="s">
        <v>28</v>
      </c>
      <c r="J36" s="19" t="s">
        <v>75</v>
      </c>
      <c r="K36" s="19">
        <v>15.0</v>
      </c>
      <c r="L36" s="15" t="s">
        <v>47</v>
      </c>
      <c r="M36" s="17"/>
      <c r="N36" s="17"/>
    </row>
    <row r="37" ht="14.25" customHeight="1">
      <c r="A37" s="12" t="s">
        <v>503</v>
      </c>
      <c r="B37" s="11" t="s">
        <v>65</v>
      </c>
      <c r="C37" s="11" t="s">
        <v>492</v>
      </c>
      <c r="D37" s="12" t="s">
        <v>31</v>
      </c>
      <c r="E37" s="11" t="s">
        <v>506</v>
      </c>
      <c r="F37" s="11" t="s">
        <v>508</v>
      </c>
      <c r="G37" s="11" t="s">
        <v>509</v>
      </c>
      <c r="H37" s="11" t="s">
        <v>510</v>
      </c>
      <c r="I37" s="12" t="s">
        <v>29</v>
      </c>
      <c r="J37" s="12" t="s">
        <v>75</v>
      </c>
      <c r="K37" s="12">
        <v>12.0</v>
      </c>
      <c r="L37" s="15" t="s">
        <v>47</v>
      </c>
      <c r="M37" s="17"/>
      <c r="N37" s="17"/>
    </row>
    <row r="38" ht="14.25" customHeight="1">
      <c r="A38" s="19" t="s">
        <v>514</v>
      </c>
      <c r="B38" s="21" t="s">
        <v>65</v>
      </c>
      <c r="C38" s="21" t="s">
        <v>492</v>
      </c>
      <c r="D38" s="19" t="s">
        <v>31</v>
      </c>
      <c r="E38" s="21" t="s">
        <v>506</v>
      </c>
      <c r="F38" s="21" t="s">
        <v>517</v>
      </c>
      <c r="G38" s="21" t="s">
        <v>519</v>
      </c>
      <c r="H38" s="21" t="s">
        <v>520</v>
      </c>
      <c r="I38" s="19" t="s">
        <v>29</v>
      </c>
      <c r="J38" s="19" t="s">
        <v>103</v>
      </c>
      <c r="K38" s="19">
        <v>10.0</v>
      </c>
      <c r="L38" s="15" t="s">
        <v>47</v>
      </c>
      <c r="M38" s="17"/>
      <c r="N38" s="17"/>
    </row>
    <row r="39" ht="14.25" customHeight="1">
      <c r="A39" s="12" t="s">
        <v>528</v>
      </c>
      <c r="B39" s="11" t="s">
        <v>65</v>
      </c>
      <c r="C39" s="11" t="s">
        <v>492</v>
      </c>
      <c r="D39" s="12" t="s">
        <v>31</v>
      </c>
      <c r="E39" s="11" t="s">
        <v>506</v>
      </c>
      <c r="F39" s="11" t="s">
        <v>530</v>
      </c>
      <c r="G39" s="11" t="s">
        <v>476</v>
      </c>
      <c r="H39" s="11" t="s">
        <v>533</v>
      </c>
      <c r="I39" s="12" t="s">
        <v>28</v>
      </c>
      <c r="J39" s="12" t="s">
        <v>75</v>
      </c>
      <c r="K39" s="12">
        <v>12.0</v>
      </c>
      <c r="L39" s="15" t="s">
        <v>47</v>
      </c>
      <c r="M39" s="17"/>
      <c r="N39" s="17"/>
    </row>
    <row r="40" ht="14.25" customHeight="1">
      <c r="A40" s="19" t="s">
        <v>540</v>
      </c>
      <c r="B40" s="21" t="s">
        <v>65</v>
      </c>
      <c r="C40" s="21" t="s">
        <v>492</v>
      </c>
      <c r="D40" s="19" t="s">
        <v>31</v>
      </c>
      <c r="E40" s="21" t="s">
        <v>543</v>
      </c>
      <c r="F40" s="21" t="s">
        <v>545</v>
      </c>
      <c r="G40" s="21" t="s">
        <v>546</v>
      </c>
      <c r="H40" s="21" t="s">
        <v>547</v>
      </c>
      <c r="I40" s="19" t="s">
        <v>28</v>
      </c>
      <c r="J40" s="19" t="s">
        <v>102</v>
      </c>
      <c r="K40" s="19">
        <v>20.0</v>
      </c>
      <c r="L40" s="15" t="s">
        <v>47</v>
      </c>
      <c r="M40" s="17"/>
      <c r="N40" s="17"/>
    </row>
    <row r="41" ht="14.25" customHeight="1">
      <c r="A41" s="12" t="s">
        <v>556</v>
      </c>
      <c r="B41" s="11" t="s">
        <v>65</v>
      </c>
      <c r="C41" s="11" t="s">
        <v>557</v>
      </c>
      <c r="D41" s="12" t="s">
        <v>31</v>
      </c>
      <c r="E41" s="11" t="s">
        <v>559</v>
      </c>
      <c r="F41" s="11" t="s">
        <v>562</v>
      </c>
      <c r="G41" s="11" t="s">
        <v>563</v>
      </c>
      <c r="H41" s="11" t="s">
        <v>565</v>
      </c>
      <c r="I41" s="12" t="s">
        <v>29</v>
      </c>
      <c r="J41" s="12" t="s">
        <v>75</v>
      </c>
      <c r="K41" s="12">
        <v>12.0</v>
      </c>
      <c r="L41" s="15" t="s">
        <v>47</v>
      </c>
      <c r="M41" s="17"/>
      <c r="N41" s="17"/>
    </row>
    <row r="42" ht="14.25" customHeight="1">
      <c r="A42" s="19" t="s">
        <v>573</v>
      </c>
      <c r="B42" s="21" t="s">
        <v>65</v>
      </c>
      <c r="C42" s="21" t="s">
        <v>557</v>
      </c>
      <c r="D42" s="19" t="s">
        <v>31</v>
      </c>
      <c r="E42" s="21" t="s">
        <v>575</v>
      </c>
      <c r="F42" s="21" t="s">
        <v>578</v>
      </c>
      <c r="G42" s="21" t="s">
        <v>581</v>
      </c>
      <c r="H42" s="21" t="s">
        <v>584</v>
      </c>
      <c r="I42" s="19" t="s">
        <v>29</v>
      </c>
      <c r="J42" s="19" t="s">
        <v>102</v>
      </c>
      <c r="K42" s="19">
        <v>20.0</v>
      </c>
      <c r="L42" s="15" t="s">
        <v>47</v>
      </c>
      <c r="M42" s="17"/>
      <c r="N42" s="17"/>
    </row>
    <row r="43" ht="14.25" customHeight="1">
      <c r="A43" s="12" t="s">
        <v>587</v>
      </c>
      <c r="B43" s="11" t="s">
        <v>65</v>
      </c>
      <c r="C43" s="11" t="s">
        <v>557</v>
      </c>
      <c r="D43" s="12" t="s">
        <v>31</v>
      </c>
      <c r="E43" s="11" t="s">
        <v>592</v>
      </c>
      <c r="F43" s="11" t="s">
        <v>593</v>
      </c>
      <c r="G43" s="11" t="s">
        <v>595</v>
      </c>
      <c r="H43" s="11" t="s">
        <v>597</v>
      </c>
      <c r="I43" s="12" t="s">
        <v>29</v>
      </c>
      <c r="J43" s="12" t="s">
        <v>102</v>
      </c>
      <c r="K43" s="12">
        <v>30.0</v>
      </c>
      <c r="L43" s="15" t="s">
        <v>47</v>
      </c>
      <c r="M43" s="17"/>
      <c r="N43" s="17"/>
    </row>
    <row r="44" ht="14.25" customHeight="1">
      <c r="A44" s="19" t="s">
        <v>601</v>
      </c>
      <c r="B44" s="21" t="s">
        <v>65</v>
      </c>
      <c r="C44" s="21" t="s">
        <v>604</v>
      </c>
      <c r="D44" s="19" t="s">
        <v>31</v>
      </c>
      <c r="E44" s="21" t="s">
        <v>269</v>
      </c>
      <c r="F44" s="21" t="s">
        <v>607</v>
      </c>
      <c r="G44" s="21" t="s">
        <v>609</v>
      </c>
      <c r="H44" s="21" t="s">
        <v>610</v>
      </c>
      <c r="I44" s="19" t="s">
        <v>28</v>
      </c>
      <c r="J44" s="19" t="s">
        <v>75</v>
      </c>
      <c r="K44" s="19">
        <v>18.0</v>
      </c>
      <c r="L44" s="15" t="s">
        <v>47</v>
      </c>
      <c r="M44" s="17"/>
      <c r="N44" s="17"/>
    </row>
    <row r="45" ht="14.25" customHeight="1">
      <c r="A45" s="12" t="s">
        <v>619</v>
      </c>
      <c r="B45" s="11" t="s">
        <v>65</v>
      </c>
      <c r="C45" s="11" t="s">
        <v>604</v>
      </c>
      <c r="D45" s="12" t="s">
        <v>31</v>
      </c>
      <c r="E45" s="11" t="s">
        <v>94</v>
      </c>
      <c r="F45" s="11" t="s">
        <v>623</v>
      </c>
      <c r="G45" s="11" t="s">
        <v>626</v>
      </c>
      <c r="H45" s="11" t="s">
        <v>628</v>
      </c>
      <c r="I45" s="12" t="s">
        <v>29</v>
      </c>
      <c r="J45" s="12" t="s">
        <v>75</v>
      </c>
      <c r="K45" s="12">
        <v>18.0</v>
      </c>
      <c r="L45" s="15" t="s">
        <v>47</v>
      </c>
      <c r="M45" s="17"/>
      <c r="N45" s="17"/>
    </row>
    <row r="46" ht="14.25" customHeight="1">
      <c r="A46" s="19" t="s">
        <v>633</v>
      </c>
      <c r="B46" s="21" t="s">
        <v>65</v>
      </c>
      <c r="C46" s="21" t="s">
        <v>604</v>
      </c>
      <c r="D46" s="19" t="s">
        <v>31</v>
      </c>
      <c r="E46" s="21" t="s">
        <v>636</v>
      </c>
      <c r="F46" s="21" t="s">
        <v>637</v>
      </c>
      <c r="G46" s="21" t="s">
        <v>638</v>
      </c>
      <c r="H46" s="21" t="s">
        <v>641</v>
      </c>
      <c r="I46" s="19" t="s">
        <v>30</v>
      </c>
      <c r="J46" s="19" t="s">
        <v>75</v>
      </c>
      <c r="K46" s="19">
        <v>12.0</v>
      </c>
      <c r="L46" s="15" t="s">
        <v>47</v>
      </c>
      <c r="M46" s="17"/>
      <c r="N46" s="17"/>
    </row>
    <row r="47" ht="14.25" customHeight="1">
      <c r="A47" s="12" t="s">
        <v>647</v>
      </c>
      <c r="B47" s="11" t="s">
        <v>65</v>
      </c>
      <c r="C47" s="11" t="s">
        <v>651</v>
      </c>
      <c r="D47" s="12" t="s">
        <v>33</v>
      </c>
      <c r="E47" s="11" t="s">
        <v>653</v>
      </c>
      <c r="F47" s="11" t="s">
        <v>654</v>
      </c>
      <c r="G47" s="11" t="s">
        <v>655</v>
      </c>
      <c r="H47" s="11" t="s">
        <v>657</v>
      </c>
      <c r="I47" s="12" t="s">
        <v>28</v>
      </c>
      <c r="J47" s="12" t="s">
        <v>75</v>
      </c>
      <c r="K47" s="12">
        <v>15.0</v>
      </c>
      <c r="L47" s="15" t="s">
        <v>47</v>
      </c>
      <c r="M47" s="17"/>
      <c r="N47" s="17"/>
    </row>
    <row r="48" ht="14.25" customHeight="1">
      <c r="A48" s="19" t="s">
        <v>671</v>
      </c>
      <c r="B48" s="21" t="s">
        <v>65</v>
      </c>
      <c r="C48" s="21" t="s">
        <v>651</v>
      </c>
      <c r="D48" s="19" t="s">
        <v>33</v>
      </c>
      <c r="E48" s="21" t="s">
        <v>673</v>
      </c>
      <c r="F48" s="21" t="s">
        <v>675</v>
      </c>
      <c r="G48" s="21" t="s">
        <v>676</v>
      </c>
      <c r="H48" s="21" t="s">
        <v>677</v>
      </c>
      <c r="I48" s="19" t="s">
        <v>28</v>
      </c>
      <c r="J48" s="19" t="s">
        <v>102</v>
      </c>
      <c r="K48" s="19">
        <v>20.0</v>
      </c>
      <c r="L48" s="15" t="s">
        <v>47</v>
      </c>
      <c r="M48" s="17"/>
      <c r="N48" s="17"/>
    </row>
    <row r="49" ht="14.25" customHeight="1">
      <c r="A49" s="12" t="s">
        <v>682</v>
      </c>
      <c r="B49" s="11" t="s">
        <v>65</v>
      </c>
      <c r="C49" s="11" t="s">
        <v>651</v>
      </c>
      <c r="D49" s="12" t="s">
        <v>33</v>
      </c>
      <c r="E49" s="11" t="s">
        <v>686</v>
      </c>
      <c r="F49" s="11" t="s">
        <v>687</v>
      </c>
      <c r="G49" s="11" t="s">
        <v>688</v>
      </c>
      <c r="H49" s="11" t="s">
        <v>689</v>
      </c>
      <c r="I49" s="12" t="s">
        <v>28</v>
      </c>
      <c r="J49" s="12" t="s">
        <v>102</v>
      </c>
      <c r="K49" s="12">
        <v>18.0</v>
      </c>
      <c r="L49" s="15" t="s">
        <v>47</v>
      </c>
      <c r="M49" s="17"/>
      <c r="N49" s="17"/>
    </row>
    <row r="50" ht="14.25" customHeight="1">
      <c r="A50" s="19" t="s">
        <v>696</v>
      </c>
      <c r="B50" s="21" t="s">
        <v>65</v>
      </c>
      <c r="C50" s="21" t="s">
        <v>651</v>
      </c>
      <c r="D50" s="19" t="s">
        <v>33</v>
      </c>
      <c r="E50" s="21" t="s">
        <v>701</v>
      </c>
      <c r="F50" s="21" t="s">
        <v>702</v>
      </c>
      <c r="G50" s="21" t="s">
        <v>703</v>
      </c>
      <c r="H50" s="21" t="s">
        <v>706</v>
      </c>
      <c r="I50" s="19" t="s">
        <v>28</v>
      </c>
      <c r="J50" s="19" t="s">
        <v>102</v>
      </c>
      <c r="K50" s="19">
        <v>20.0</v>
      </c>
      <c r="L50" s="15" t="s">
        <v>47</v>
      </c>
      <c r="M50" s="17"/>
      <c r="N50" s="17"/>
    </row>
    <row r="51" ht="14.25" customHeight="1">
      <c r="A51" s="12" t="s">
        <v>711</v>
      </c>
      <c r="B51" s="11" t="s">
        <v>65</v>
      </c>
      <c r="C51" s="11" t="s">
        <v>651</v>
      </c>
      <c r="D51" s="12" t="s">
        <v>33</v>
      </c>
      <c r="E51" s="11" t="s">
        <v>717</v>
      </c>
      <c r="F51" s="11" t="s">
        <v>718</v>
      </c>
      <c r="G51" s="11" t="s">
        <v>719</v>
      </c>
      <c r="H51" s="11" t="s">
        <v>721</v>
      </c>
      <c r="I51" s="12" t="s">
        <v>28</v>
      </c>
      <c r="J51" s="12" t="s">
        <v>102</v>
      </c>
      <c r="K51" s="12">
        <v>25.0</v>
      </c>
      <c r="L51" s="15" t="s">
        <v>47</v>
      </c>
      <c r="M51" s="17"/>
      <c r="N51" s="17"/>
    </row>
    <row r="52" ht="14.25" customHeight="1">
      <c r="A52" s="19" t="s">
        <v>728</v>
      </c>
      <c r="B52" s="21" t="s">
        <v>65</v>
      </c>
      <c r="C52" s="21" t="s">
        <v>651</v>
      </c>
      <c r="D52" s="19" t="s">
        <v>33</v>
      </c>
      <c r="E52" s="21" t="s">
        <v>731</v>
      </c>
      <c r="F52" s="21" t="s">
        <v>733</v>
      </c>
      <c r="G52" s="21" t="s">
        <v>735</v>
      </c>
      <c r="H52" s="21" t="s">
        <v>736</v>
      </c>
      <c r="I52" s="19" t="s">
        <v>29</v>
      </c>
      <c r="J52" s="19" t="s">
        <v>102</v>
      </c>
      <c r="K52" s="19">
        <v>20.0</v>
      </c>
      <c r="L52" s="15" t="s">
        <v>47</v>
      </c>
      <c r="M52" s="17"/>
      <c r="N52" s="17"/>
    </row>
    <row r="53" ht="14.25" customHeight="1">
      <c r="A53" s="12" t="s">
        <v>742</v>
      </c>
      <c r="B53" s="11" t="s">
        <v>65</v>
      </c>
      <c r="C53" s="11" t="s">
        <v>651</v>
      </c>
      <c r="D53" s="12" t="s">
        <v>33</v>
      </c>
      <c r="E53" s="11" t="s">
        <v>747</v>
      </c>
      <c r="F53" s="11" t="s">
        <v>749</v>
      </c>
      <c r="G53" s="11" t="s">
        <v>750</v>
      </c>
      <c r="H53" s="11" t="s">
        <v>751</v>
      </c>
      <c r="I53" s="12" t="s">
        <v>28</v>
      </c>
      <c r="J53" s="12" t="s">
        <v>102</v>
      </c>
      <c r="K53" s="12">
        <v>25.0</v>
      </c>
      <c r="L53" s="15" t="s">
        <v>47</v>
      </c>
      <c r="M53" s="17"/>
      <c r="N53" s="17"/>
    </row>
    <row r="54" ht="14.25" customHeight="1">
      <c r="A54" s="19" t="s">
        <v>758</v>
      </c>
      <c r="B54" s="21" t="s">
        <v>65</v>
      </c>
      <c r="C54" s="21" t="s">
        <v>651</v>
      </c>
      <c r="D54" s="19" t="s">
        <v>33</v>
      </c>
      <c r="E54" s="21" t="s">
        <v>761</v>
      </c>
      <c r="F54" s="21" t="s">
        <v>763</v>
      </c>
      <c r="G54" s="21" t="s">
        <v>765</v>
      </c>
      <c r="H54" s="21" t="s">
        <v>766</v>
      </c>
      <c r="I54" s="19" t="s">
        <v>29</v>
      </c>
      <c r="J54" s="19" t="s">
        <v>102</v>
      </c>
      <c r="K54" s="19">
        <v>20.0</v>
      </c>
      <c r="L54" s="15" t="s">
        <v>47</v>
      </c>
      <c r="M54" s="17"/>
      <c r="N54" s="17"/>
    </row>
    <row r="55" ht="14.25" customHeight="1">
      <c r="A55" s="12" t="s">
        <v>775</v>
      </c>
      <c r="B55" s="11" t="s">
        <v>65</v>
      </c>
      <c r="C55" s="11" t="s">
        <v>651</v>
      </c>
      <c r="D55" s="12" t="s">
        <v>33</v>
      </c>
      <c r="E55" s="11" t="s">
        <v>785</v>
      </c>
      <c r="F55" s="11" t="s">
        <v>786</v>
      </c>
      <c r="G55" s="11" t="s">
        <v>787</v>
      </c>
      <c r="H55" s="11" t="s">
        <v>788</v>
      </c>
      <c r="I55" s="12" t="s">
        <v>28</v>
      </c>
      <c r="J55" s="12" t="s">
        <v>102</v>
      </c>
      <c r="K55" s="12">
        <v>30.0</v>
      </c>
      <c r="L55" s="15" t="s">
        <v>47</v>
      </c>
      <c r="M55" s="17"/>
      <c r="N55" s="17"/>
    </row>
    <row r="56" ht="14.25" customHeight="1">
      <c r="A56" s="19" t="s">
        <v>795</v>
      </c>
      <c r="B56" s="21" t="s">
        <v>65</v>
      </c>
      <c r="C56" s="21" t="s">
        <v>651</v>
      </c>
      <c r="D56" s="19" t="s">
        <v>33</v>
      </c>
      <c r="E56" s="21" t="s">
        <v>785</v>
      </c>
      <c r="F56" s="21" t="s">
        <v>799</v>
      </c>
      <c r="G56" s="21" t="s">
        <v>800</v>
      </c>
      <c r="H56" s="21" t="s">
        <v>801</v>
      </c>
      <c r="I56" s="19" t="s">
        <v>28</v>
      </c>
      <c r="J56" s="19" t="s">
        <v>102</v>
      </c>
      <c r="K56" s="19">
        <v>25.0</v>
      </c>
      <c r="L56" s="15" t="s">
        <v>47</v>
      </c>
      <c r="M56" s="17"/>
      <c r="N56" s="17"/>
    </row>
    <row r="57" ht="14.25" customHeight="1">
      <c r="A57" s="12" t="s">
        <v>803</v>
      </c>
      <c r="B57" s="11" t="s">
        <v>65</v>
      </c>
      <c r="C57" s="11" t="s">
        <v>806</v>
      </c>
      <c r="D57" s="12" t="s">
        <v>33</v>
      </c>
      <c r="E57" s="11" t="s">
        <v>673</v>
      </c>
      <c r="F57" s="11" t="s">
        <v>809</v>
      </c>
      <c r="G57" s="11" t="s">
        <v>810</v>
      </c>
      <c r="H57" s="11" t="s">
        <v>811</v>
      </c>
      <c r="I57" s="12" t="s">
        <v>29</v>
      </c>
      <c r="J57" s="12" t="s">
        <v>75</v>
      </c>
      <c r="K57" s="12">
        <v>25.0</v>
      </c>
      <c r="L57" s="15" t="s">
        <v>47</v>
      </c>
      <c r="M57" s="17"/>
      <c r="N57" s="17"/>
    </row>
    <row r="58" ht="14.25" customHeight="1">
      <c r="A58" s="19" t="s">
        <v>815</v>
      </c>
      <c r="B58" s="21" t="s">
        <v>65</v>
      </c>
      <c r="C58" s="21" t="s">
        <v>806</v>
      </c>
      <c r="D58" s="19" t="s">
        <v>33</v>
      </c>
      <c r="E58" s="21" t="s">
        <v>817</v>
      </c>
      <c r="F58" s="21" t="s">
        <v>818</v>
      </c>
      <c r="G58" s="21" t="s">
        <v>819</v>
      </c>
      <c r="H58" s="21" t="s">
        <v>820</v>
      </c>
      <c r="I58" s="19" t="s">
        <v>29</v>
      </c>
      <c r="J58" s="19" t="s">
        <v>75</v>
      </c>
      <c r="K58" s="19">
        <v>25.0</v>
      </c>
      <c r="L58" s="15" t="s">
        <v>47</v>
      </c>
      <c r="M58" s="17"/>
      <c r="N58" s="17"/>
    </row>
    <row r="59" ht="14.25" customHeight="1">
      <c r="A59" s="12" t="s">
        <v>826</v>
      </c>
      <c r="B59" s="11" t="s">
        <v>65</v>
      </c>
      <c r="C59" s="11" t="s">
        <v>806</v>
      </c>
      <c r="D59" s="12" t="s">
        <v>33</v>
      </c>
      <c r="E59" s="11" t="s">
        <v>817</v>
      </c>
      <c r="F59" s="11" t="s">
        <v>827</v>
      </c>
      <c r="G59" s="11" t="s">
        <v>830</v>
      </c>
      <c r="H59" s="11" t="s">
        <v>832</v>
      </c>
      <c r="I59" s="12" t="s">
        <v>28</v>
      </c>
      <c r="J59" s="12" t="s">
        <v>103</v>
      </c>
      <c r="K59" s="12">
        <v>25.0</v>
      </c>
      <c r="L59" s="15" t="s">
        <v>47</v>
      </c>
      <c r="M59" s="17"/>
      <c r="N59" s="17"/>
    </row>
    <row r="60" ht="14.25" customHeight="1">
      <c r="A60" s="19" t="s">
        <v>841</v>
      </c>
      <c r="B60" s="21" t="s">
        <v>65</v>
      </c>
      <c r="C60" s="21" t="s">
        <v>843</v>
      </c>
      <c r="D60" s="19" t="s">
        <v>33</v>
      </c>
      <c r="E60" s="21" t="s">
        <v>844</v>
      </c>
      <c r="F60" s="21" t="s">
        <v>845</v>
      </c>
      <c r="G60" s="21" t="s">
        <v>846</v>
      </c>
      <c r="H60" s="21" t="s">
        <v>847</v>
      </c>
      <c r="I60" s="19" t="s">
        <v>28</v>
      </c>
      <c r="J60" s="19" t="s">
        <v>102</v>
      </c>
      <c r="K60" s="19">
        <v>30.0</v>
      </c>
      <c r="L60" s="15" t="s">
        <v>47</v>
      </c>
      <c r="M60" s="17"/>
      <c r="N60" s="17"/>
    </row>
    <row r="61" ht="14.25" customHeight="1">
      <c r="A61" s="12" t="s">
        <v>851</v>
      </c>
      <c r="B61" s="11" t="s">
        <v>65</v>
      </c>
      <c r="C61" s="11" t="s">
        <v>843</v>
      </c>
      <c r="D61" s="12" t="s">
        <v>33</v>
      </c>
      <c r="E61" s="11" t="s">
        <v>285</v>
      </c>
      <c r="F61" s="11" t="s">
        <v>854</v>
      </c>
      <c r="G61" s="11" t="s">
        <v>855</v>
      </c>
      <c r="H61" s="11" t="s">
        <v>856</v>
      </c>
      <c r="I61" s="12" t="s">
        <v>29</v>
      </c>
      <c r="J61" s="12" t="s">
        <v>197</v>
      </c>
      <c r="K61" s="12">
        <v>15.0</v>
      </c>
      <c r="L61" s="15" t="s">
        <v>47</v>
      </c>
      <c r="M61" s="17"/>
      <c r="N61" s="17"/>
    </row>
    <row r="62" ht="14.25" customHeight="1">
      <c r="A62" s="19" t="s">
        <v>860</v>
      </c>
      <c r="B62" s="21" t="s">
        <v>65</v>
      </c>
      <c r="C62" s="21" t="s">
        <v>651</v>
      </c>
      <c r="D62" s="19" t="s">
        <v>33</v>
      </c>
      <c r="E62" s="21" t="s">
        <v>673</v>
      </c>
      <c r="F62" s="21" t="s">
        <v>863</v>
      </c>
      <c r="G62" s="21" t="s">
        <v>864</v>
      </c>
      <c r="H62" s="21" t="s">
        <v>865</v>
      </c>
      <c r="I62" s="19" t="s">
        <v>29</v>
      </c>
      <c r="J62" s="19" t="s">
        <v>75</v>
      </c>
      <c r="K62" s="19">
        <v>15.0</v>
      </c>
      <c r="L62" s="15" t="s">
        <v>47</v>
      </c>
      <c r="M62" s="17"/>
      <c r="N62" s="17"/>
    </row>
    <row r="63" ht="14.25" customHeight="1">
      <c r="A63" s="12" t="s">
        <v>868</v>
      </c>
      <c r="B63" s="11" t="s">
        <v>65</v>
      </c>
      <c r="C63" s="11" t="s">
        <v>651</v>
      </c>
      <c r="D63" s="12" t="s">
        <v>33</v>
      </c>
      <c r="E63" s="11" t="s">
        <v>869</v>
      </c>
      <c r="F63" s="11" t="s">
        <v>871</v>
      </c>
      <c r="G63" s="11" t="s">
        <v>873</v>
      </c>
      <c r="H63" s="11" t="s">
        <v>875</v>
      </c>
      <c r="I63" s="12" t="s">
        <v>28</v>
      </c>
      <c r="J63" s="12" t="s">
        <v>103</v>
      </c>
      <c r="K63" s="12">
        <v>30.0</v>
      </c>
      <c r="L63" s="15" t="s">
        <v>47</v>
      </c>
      <c r="M63" s="17"/>
      <c r="N63" s="17"/>
    </row>
    <row r="64" ht="14.25" customHeight="1"/>
    <row r="65" ht="14.25" customHeight="1">
      <c r="J65" s="3" t="s">
        <v>789</v>
      </c>
      <c r="K65" s="27">
        <f>SUM(K3:K63)</f>
        <v>1157</v>
      </c>
    </row>
    <row r="66" ht="14.25" customHeight="1">
      <c r="J66" s="3" t="s">
        <v>808</v>
      </c>
      <c r="K66" s="28">
        <f>K65/60</f>
        <v>19.28333333</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63"/>
  <mergeCells count="1">
    <mergeCell ref="A1:N1"/>
  </mergeCells>
  <conditionalFormatting sqref="L3:L63">
    <cfRule type="cellIs" dxfId="0" priority="1" operator="equal">
      <formula>"Pass"</formula>
    </cfRule>
  </conditionalFormatting>
  <conditionalFormatting sqref="L3:L63">
    <cfRule type="cellIs" dxfId="1" priority="2" operator="equal">
      <formula>"Fail"</formula>
    </cfRule>
  </conditionalFormatting>
  <conditionalFormatting sqref="L3:L63">
    <cfRule type="cellIs" dxfId="2" priority="3" operator="equal">
      <formula>"Blocked"</formula>
    </cfRule>
  </conditionalFormatting>
  <dataValidations>
    <dataValidation type="list" allowBlank="1" sqref="L3:L63">
      <formula1>"Not Run,Pass,Fail,Blocked,N-A"</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351</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384</v>
      </c>
      <c r="B3" s="11" t="s">
        <v>276</v>
      </c>
      <c r="C3" s="11" t="s">
        <v>385</v>
      </c>
      <c r="D3" s="12" t="s">
        <v>31</v>
      </c>
      <c r="E3" s="11" t="s">
        <v>68</v>
      </c>
      <c r="F3" s="11" t="s">
        <v>391</v>
      </c>
      <c r="G3" s="11" t="s">
        <v>392</v>
      </c>
      <c r="H3" s="11" t="s">
        <v>393</v>
      </c>
      <c r="I3" s="12" t="s">
        <v>29</v>
      </c>
      <c r="J3" s="12" t="s">
        <v>75</v>
      </c>
      <c r="K3" s="12">
        <v>12.0</v>
      </c>
      <c r="L3" s="15" t="s">
        <v>47</v>
      </c>
      <c r="M3" s="17"/>
      <c r="N3" s="17"/>
    </row>
    <row r="4" ht="14.25" customHeight="1">
      <c r="A4" s="19" t="s">
        <v>399</v>
      </c>
      <c r="B4" s="21" t="s">
        <v>276</v>
      </c>
      <c r="C4" s="21" t="s">
        <v>403</v>
      </c>
      <c r="D4" s="19" t="s">
        <v>31</v>
      </c>
      <c r="E4" s="21" t="s">
        <v>405</v>
      </c>
      <c r="F4" s="21" t="s">
        <v>407</v>
      </c>
      <c r="G4" s="21" t="s">
        <v>410</v>
      </c>
      <c r="H4" s="21" t="s">
        <v>412</v>
      </c>
      <c r="I4" s="19" t="s">
        <v>28</v>
      </c>
      <c r="J4" s="19" t="s">
        <v>352</v>
      </c>
      <c r="K4" s="19">
        <v>40.0</v>
      </c>
      <c r="L4" s="15" t="s">
        <v>47</v>
      </c>
      <c r="M4" s="17"/>
      <c r="N4" s="17"/>
    </row>
    <row r="5" ht="14.25" customHeight="1">
      <c r="A5" s="12" t="s">
        <v>414</v>
      </c>
      <c r="B5" s="11" t="s">
        <v>276</v>
      </c>
      <c r="C5" s="11" t="s">
        <v>403</v>
      </c>
      <c r="D5" s="12" t="s">
        <v>31</v>
      </c>
      <c r="E5" s="11" t="s">
        <v>418</v>
      </c>
      <c r="F5" s="11" t="s">
        <v>419</v>
      </c>
      <c r="G5" s="11" t="s">
        <v>420</v>
      </c>
      <c r="H5" s="11" t="s">
        <v>422</v>
      </c>
      <c r="I5" s="12" t="s">
        <v>28</v>
      </c>
      <c r="J5" s="12" t="s">
        <v>102</v>
      </c>
      <c r="K5" s="12">
        <v>25.0</v>
      </c>
      <c r="L5" s="15" t="s">
        <v>47</v>
      </c>
      <c r="M5" s="17"/>
      <c r="N5" s="17"/>
    </row>
    <row r="6" ht="14.25" customHeight="1">
      <c r="A6" s="19" t="s">
        <v>428</v>
      </c>
      <c r="B6" s="21" t="s">
        <v>276</v>
      </c>
      <c r="C6" s="21" t="s">
        <v>403</v>
      </c>
      <c r="D6" s="19" t="s">
        <v>31</v>
      </c>
      <c r="E6" s="21" t="s">
        <v>429</v>
      </c>
      <c r="F6" s="21" t="s">
        <v>430</v>
      </c>
      <c r="G6" s="21" t="s">
        <v>432</v>
      </c>
      <c r="H6" s="21" t="s">
        <v>434</v>
      </c>
      <c r="I6" s="19" t="s">
        <v>28</v>
      </c>
      <c r="J6" s="19" t="s">
        <v>102</v>
      </c>
      <c r="K6" s="19">
        <v>25.0</v>
      </c>
      <c r="L6" s="15" t="s">
        <v>47</v>
      </c>
      <c r="M6" s="17"/>
      <c r="N6" s="17"/>
    </row>
    <row r="7" ht="14.25" customHeight="1">
      <c r="A7" s="12" t="s">
        <v>441</v>
      </c>
      <c r="B7" s="11" t="s">
        <v>276</v>
      </c>
      <c r="C7" s="11" t="s">
        <v>403</v>
      </c>
      <c r="D7" s="12" t="s">
        <v>31</v>
      </c>
      <c r="E7" s="11" t="s">
        <v>444</v>
      </c>
      <c r="F7" s="11" t="s">
        <v>445</v>
      </c>
      <c r="G7" s="11" t="s">
        <v>448</v>
      </c>
      <c r="H7" s="11" t="s">
        <v>451</v>
      </c>
      <c r="I7" s="12" t="s">
        <v>28</v>
      </c>
      <c r="J7" s="12" t="s">
        <v>102</v>
      </c>
      <c r="K7" s="12">
        <v>40.0</v>
      </c>
      <c r="L7" s="15" t="s">
        <v>47</v>
      </c>
      <c r="M7" s="17"/>
      <c r="N7" s="17"/>
    </row>
    <row r="8" ht="14.25" customHeight="1">
      <c r="A8" s="19" t="s">
        <v>457</v>
      </c>
      <c r="B8" s="21" t="s">
        <v>276</v>
      </c>
      <c r="C8" s="21" t="s">
        <v>403</v>
      </c>
      <c r="D8" s="19" t="s">
        <v>31</v>
      </c>
      <c r="E8" s="21" t="s">
        <v>459</v>
      </c>
      <c r="F8" s="21" t="s">
        <v>461</v>
      </c>
      <c r="G8" s="21" t="s">
        <v>464</v>
      </c>
      <c r="H8" s="21" t="s">
        <v>466</v>
      </c>
      <c r="I8" s="19" t="s">
        <v>29</v>
      </c>
      <c r="J8" s="19" t="s">
        <v>103</v>
      </c>
      <c r="K8" s="19">
        <v>25.0</v>
      </c>
      <c r="L8" s="15" t="s">
        <v>47</v>
      </c>
      <c r="M8" s="17"/>
      <c r="N8" s="17"/>
    </row>
    <row r="9" ht="14.25" customHeight="1">
      <c r="A9" s="12" t="s">
        <v>470</v>
      </c>
      <c r="B9" s="11" t="s">
        <v>276</v>
      </c>
      <c r="C9" s="11" t="s">
        <v>472</v>
      </c>
      <c r="D9" s="12" t="s">
        <v>31</v>
      </c>
      <c r="E9" s="11" t="s">
        <v>474</v>
      </c>
      <c r="F9" s="11" t="s">
        <v>475</v>
      </c>
      <c r="G9" s="11" t="s">
        <v>476</v>
      </c>
      <c r="H9" s="11" t="s">
        <v>477</v>
      </c>
      <c r="I9" s="12" t="s">
        <v>28</v>
      </c>
      <c r="J9" s="12" t="s">
        <v>75</v>
      </c>
      <c r="K9" s="12">
        <v>12.0</v>
      </c>
      <c r="L9" s="15" t="s">
        <v>47</v>
      </c>
      <c r="M9" s="17"/>
      <c r="N9" s="17"/>
    </row>
    <row r="10" ht="14.25" customHeight="1">
      <c r="A10" s="19" t="s">
        <v>480</v>
      </c>
      <c r="B10" s="21" t="s">
        <v>276</v>
      </c>
      <c r="C10" s="21" t="s">
        <v>472</v>
      </c>
      <c r="D10" s="19" t="s">
        <v>31</v>
      </c>
      <c r="E10" s="21" t="s">
        <v>484</v>
      </c>
      <c r="F10" s="21" t="s">
        <v>485</v>
      </c>
      <c r="G10" s="21" t="s">
        <v>486</v>
      </c>
      <c r="H10" s="21" t="s">
        <v>489</v>
      </c>
      <c r="I10" s="19" t="s">
        <v>28</v>
      </c>
      <c r="J10" s="19" t="s">
        <v>75</v>
      </c>
      <c r="K10" s="19">
        <v>15.0</v>
      </c>
      <c r="L10" s="15" t="s">
        <v>47</v>
      </c>
      <c r="M10" s="17"/>
      <c r="N10" s="17"/>
    </row>
    <row r="11" ht="14.25" customHeight="1">
      <c r="A11" s="12" t="s">
        <v>496</v>
      </c>
      <c r="B11" s="11" t="s">
        <v>276</v>
      </c>
      <c r="C11" s="11" t="s">
        <v>472</v>
      </c>
      <c r="D11" s="12" t="s">
        <v>31</v>
      </c>
      <c r="E11" s="11" t="s">
        <v>500</v>
      </c>
      <c r="F11" s="11" t="s">
        <v>502</v>
      </c>
      <c r="G11" s="11" t="s">
        <v>504</v>
      </c>
      <c r="H11" s="11" t="s">
        <v>505</v>
      </c>
      <c r="I11" s="12" t="s">
        <v>28</v>
      </c>
      <c r="J11" s="12" t="s">
        <v>75</v>
      </c>
      <c r="K11" s="12">
        <v>15.0</v>
      </c>
      <c r="L11" s="15" t="s">
        <v>47</v>
      </c>
      <c r="M11" s="17"/>
      <c r="N11" s="17"/>
    </row>
    <row r="12" ht="14.25" customHeight="1">
      <c r="A12" s="19" t="s">
        <v>518</v>
      </c>
      <c r="B12" s="21" t="s">
        <v>276</v>
      </c>
      <c r="C12" s="21" t="s">
        <v>472</v>
      </c>
      <c r="D12" s="19" t="s">
        <v>31</v>
      </c>
      <c r="E12" s="21" t="s">
        <v>474</v>
      </c>
      <c r="F12" s="21" t="s">
        <v>524</v>
      </c>
      <c r="G12" s="21" t="s">
        <v>526</v>
      </c>
      <c r="H12" s="21" t="s">
        <v>527</v>
      </c>
      <c r="I12" s="19" t="s">
        <v>29</v>
      </c>
      <c r="J12" s="19" t="s">
        <v>75</v>
      </c>
      <c r="K12" s="19">
        <v>12.0</v>
      </c>
      <c r="L12" s="15" t="s">
        <v>47</v>
      </c>
      <c r="M12" s="17"/>
      <c r="N12" s="17"/>
    </row>
    <row r="13" ht="14.25" customHeight="1">
      <c r="A13" s="12" t="s">
        <v>532</v>
      </c>
      <c r="B13" s="11" t="s">
        <v>276</v>
      </c>
      <c r="C13" s="11" t="s">
        <v>535</v>
      </c>
      <c r="D13" s="12" t="s">
        <v>31</v>
      </c>
      <c r="E13" s="11" t="s">
        <v>500</v>
      </c>
      <c r="F13" s="11" t="s">
        <v>539</v>
      </c>
      <c r="G13" s="11" t="s">
        <v>541</v>
      </c>
      <c r="H13" s="11" t="s">
        <v>542</v>
      </c>
      <c r="I13" s="12" t="s">
        <v>29</v>
      </c>
      <c r="J13" s="12" t="s">
        <v>75</v>
      </c>
      <c r="K13" s="12">
        <v>12.0</v>
      </c>
      <c r="L13" s="15" t="s">
        <v>47</v>
      </c>
      <c r="M13" s="17"/>
      <c r="N13" s="17"/>
    </row>
    <row r="14" ht="14.25" customHeight="1">
      <c r="A14" s="19" t="s">
        <v>548</v>
      </c>
      <c r="B14" s="21" t="s">
        <v>276</v>
      </c>
      <c r="C14" s="21" t="s">
        <v>535</v>
      </c>
      <c r="D14" s="19" t="s">
        <v>31</v>
      </c>
      <c r="E14" s="21" t="s">
        <v>551</v>
      </c>
      <c r="F14" s="21" t="s">
        <v>553</v>
      </c>
      <c r="G14" s="21" t="s">
        <v>554</v>
      </c>
      <c r="H14" s="21" t="s">
        <v>555</v>
      </c>
      <c r="I14" s="19" t="s">
        <v>28</v>
      </c>
      <c r="J14" s="19" t="s">
        <v>102</v>
      </c>
      <c r="K14" s="19">
        <v>20.0</v>
      </c>
      <c r="L14" s="15" t="s">
        <v>47</v>
      </c>
      <c r="M14" s="17"/>
      <c r="N14" s="17"/>
    </row>
    <row r="15" ht="14.25" customHeight="1">
      <c r="A15" s="12" t="s">
        <v>560</v>
      </c>
      <c r="B15" s="11" t="s">
        <v>276</v>
      </c>
      <c r="C15" s="11" t="s">
        <v>535</v>
      </c>
      <c r="D15" s="12" t="s">
        <v>31</v>
      </c>
      <c r="E15" s="11" t="s">
        <v>568</v>
      </c>
      <c r="F15" s="11" t="s">
        <v>570</v>
      </c>
      <c r="G15" s="11" t="s">
        <v>571</v>
      </c>
      <c r="H15" s="11" t="s">
        <v>572</v>
      </c>
      <c r="I15" s="12" t="s">
        <v>30</v>
      </c>
      <c r="J15" s="12" t="s">
        <v>103</v>
      </c>
      <c r="K15" s="12">
        <v>10.0</v>
      </c>
      <c r="L15" s="15" t="s">
        <v>47</v>
      </c>
      <c r="M15" s="17"/>
      <c r="N15" s="17"/>
    </row>
    <row r="16" ht="14.25" customHeight="1">
      <c r="A16" s="19" t="s">
        <v>576</v>
      </c>
      <c r="B16" s="21" t="s">
        <v>276</v>
      </c>
      <c r="C16" s="21" t="s">
        <v>585</v>
      </c>
      <c r="D16" s="19" t="s">
        <v>31</v>
      </c>
      <c r="E16" s="21" t="s">
        <v>500</v>
      </c>
      <c r="F16" s="21" t="s">
        <v>588</v>
      </c>
      <c r="G16" s="21" t="s">
        <v>590</v>
      </c>
      <c r="H16" s="21" t="s">
        <v>591</v>
      </c>
      <c r="I16" s="19" t="s">
        <v>28</v>
      </c>
      <c r="J16" s="19" t="s">
        <v>75</v>
      </c>
      <c r="K16" s="19">
        <v>15.0</v>
      </c>
      <c r="L16" s="15" t="s">
        <v>47</v>
      </c>
      <c r="M16" s="17"/>
      <c r="N16" s="17"/>
    </row>
    <row r="17" ht="14.25" customHeight="1">
      <c r="A17" s="12" t="s">
        <v>599</v>
      </c>
      <c r="B17" s="11" t="s">
        <v>276</v>
      </c>
      <c r="C17" s="11" t="s">
        <v>585</v>
      </c>
      <c r="D17" s="12" t="s">
        <v>31</v>
      </c>
      <c r="E17" s="11" t="s">
        <v>602</v>
      </c>
      <c r="F17" s="11" t="s">
        <v>603</v>
      </c>
      <c r="G17" s="11" t="s">
        <v>605</v>
      </c>
      <c r="H17" s="11" t="s">
        <v>606</v>
      </c>
      <c r="I17" s="12" t="s">
        <v>28</v>
      </c>
      <c r="J17" s="12" t="s">
        <v>75</v>
      </c>
      <c r="K17" s="12">
        <v>18.0</v>
      </c>
      <c r="L17" s="15" t="s">
        <v>47</v>
      </c>
      <c r="M17" s="17"/>
      <c r="N17" s="17"/>
    </row>
    <row r="18" ht="14.25" customHeight="1">
      <c r="A18" s="19" t="s">
        <v>612</v>
      </c>
      <c r="B18" s="21" t="s">
        <v>276</v>
      </c>
      <c r="C18" s="21" t="s">
        <v>585</v>
      </c>
      <c r="D18" s="19" t="s">
        <v>31</v>
      </c>
      <c r="E18" s="21" t="s">
        <v>616</v>
      </c>
      <c r="F18" s="21" t="s">
        <v>617</v>
      </c>
      <c r="G18" s="21" t="s">
        <v>618</v>
      </c>
      <c r="H18" s="21" t="s">
        <v>620</v>
      </c>
      <c r="I18" s="19" t="s">
        <v>28</v>
      </c>
      <c r="J18" s="19" t="s">
        <v>102</v>
      </c>
      <c r="K18" s="19">
        <v>30.0</v>
      </c>
      <c r="L18" s="15" t="s">
        <v>47</v>
      </c>
      <c r="M18" s="17"/>
      <c r="N18" s="17"/>
    </row>
    <row r="19" ht="14.25" customHeight="1">
      <c r="A19" s="12" t="s">
        <v>624</v>
      </c>
      <c r="B19" s="11" t="s">
        <v>276</v>
      </c>
      <c r="C19" s="11" t="s">
        <v>585</v>
      </c>
      <c r="D19" s="12" t="s">
        <v>31</v>
      </c>
      <c r="E19" s="11" t="s">
        <v>630</v>
      </c>
      <c r="F19" s="11" t="s">
        <v>631</v>
      </c>
      <c r="G19" s="11" t="s">
        <v>632</v>
      </c>
      <c r="H19" s="11" t="s">
        <v>634</v>
      </c>
      <c r="I19" s="12" t="s">
        <v>29</v>
      </c>
      <c r="J19" s="12" t="s">
        <v>197</v>
      </c>
      <c r="K19" s="12">
        <v>10.0</v>
      </c>
      <c r="L19" s="15" t="s">
        <v>47</v>
      </c>
      <c r="M19" s="17"/>
      <c r="N19" s="17"/>
    </row>
    <row r="20" ht="14.25" customHeight="1">
      <c r="A20" s="19" t="s">
        <v>640</v>
      </c>
      <c r="B20" s="21" t="s">
        <v>276</v>
      </c>
      <c r="C20" s="21" t="s">
        <v>645</v>
      </c>
      <c r="D20" s="19" t="s">
        <v>31</v>
      </c>
      <c r="E20" s="21" t="s">
        <v>646</v>
      </c>
      <c r="F20" s="21" t="s">
        <v>648</v>
      </c>
      <c r="G20" s="21" t="s">
        <v>649</v>
      </c>
      <c r="H20" s="21" t="s">
        <v>652</v>
      </c>
      <c r="I20" s="19" t="s">
        <v>28</v>
      </c>
      <c r="J20" s="19" t="s">
        <v>197</v>
      </c>
      <c r="K20" s="19">
        <v>10.0</v>
      </c>
      <c r="L20" s="15" t="s">
        <v>47</v>
      </c>
      <c r="M20" s="17"/>
      <c r="N20" s="17"/>
    </row>
    <row r="21" ht="14.25" customHeight="1">
      <c r="A21" s="12" t="s">
        <v>659</v>
      </c>
      <c r="B21" s="11" t="s">
        <v>276</v>
      </c>
      <c r="C21" s="11" t="s">
        <v>645</v>
      </c>
      <c r="D21" s="12" t="s">
        <v>31</v>
      </c>
      <c r="E21" s="11" t="s">
        <v>661</v>
      </c>
      <c r="F21" s="11" t="s">
        <v>662</v>
      </c>
      <c r="G21" s="11" t="s">
        <v>663</v>
      </c>
      <c r="H21" s="11" t="s">
        <v>665</v>
      </c>
      <c r="I21" s="12" t="s">
        <v>28</v>
      </c>
      <c r="J21" s="12" t="s">
        <v>75</v>
      </c>
      <c r="K21" s="12">
        <v>25.0</v>
      </c>
      <c r="L21" s="15" t="s">
        <v>47</v>
      </c>
      <c r="M21" s="17"/>
      <c r="N21" s="17"/>
    </row>
    <row r="22" ht="14.25" customHeight="1">
      <c r="A22" s="19" t="s">
        <v>669</v>
      </c>
      <c r="B22" s="21" t="s">
        <v>276</v>
      </c>
      <c r="C22" s="21" t="s">
        <v>645</v>
      </c>
      <c r="D22" s="19" t="s">
        <v>31</v>
      </c>
      <c r="E22" s="21" t="s">
        <v>672</v>
      </c>
      <c r="F22" s="21" t="s">
        <v>674</v>
      </c>
      <c r="G22" s="21" t="s">
        <v>683</v>
      </c>
      <c r="H22" s="21" t="s">
        <v>685</v>
      </c>
      <c r="I22" s="19" t="s">
        <v>29</v>
      </c>
      <c r="J22" s="19" t="s">
        <v>75</v>
      </c>
      <c r="K22" s="19">
        <v>15.0</v>
      </c>
      <c r="L22" s="15" t="s">
        <v>47</v>
      </c>
      <c r="M22" s="17"/>
      <c r="N22" s="17"/>
    </row>
    <row r="23" ht="14.25" customHeight="1">
      <c r="A23" s="12" t="s">
        <v>691</v>
      </c>
      <c r="B23" s="11" t="s">
        <v>276</v>
      </c>
      <c r="C23" s="11" t="s">
        <v>692</v>
      </c>
      <c r="D23" s="12" t="s">
        <v>31</v>
      </c>
      <c r="E23" s="11" t="s">
        <v>694</v>
      </c>
      <c r="F23" s="11" t="s">
        <v>697</v>
      </c>
      <c r="G23" s="11" t="s">
        <v>699</v>
      </c>
      <c r="H23" s="11" t="s">
        <v>700</v>
      </c>
      <c r="I23" s="12" t="s">
        <v>28</v>
      </c>
      <c r="J23" s="12" t="s">
        <v>197</v>
      </c>
      <c r="K23" s="12">
        <v>15.0</v>
      </c>
      <c r="L23" s="15" t="s">
        <v>47</v>
      </c>
      <c r="M23" s="17"/>
      <c r="N23" s="17"/>
    </row>
    <row r="24" ht="14.25" customHeight="1">
      <c r="A24" s="19" t="s">
        <v>705</v>
      </c>
      <c r="B24" s="21" t="s">
        <v>276</v>
      </c>
      <c r="C24" s="21" t="s">
        <v>692</v>
      </c>
      <c r="D24" s="19" t="s">
        <v>31</v>
      </c>
      <c r="E24" s="21" t="s">
        <v>707</v>
      </c>
      <c r="F24" s="21" t="s">
        <v>708</v>
      </c>
      <c r="G24" s="21" t="s">
        <v>710</v>
      </c>
      <c r="H24" s="21" t="s">
        <v>712</v>
      </c>
      <c r="I24" s="19" t="s">
        <v>29</v>
      </c>
      <c r="J24" s="19" t="s">
        <v>197</v>
      </c>
      <c r="K24" s="19">
        <v>15.0</v>
      </c>
      <c r="L24" s="15" t="s">
        <v>47</v>
      </c>
      <c r="M24" s="17"/>
      <c r="N24" s="17"/>
    </row>
    <row r="25" ht="14.25" customHeight="1">
      <c r="A25" s="12" t="s">
        <v>716</v>
      </c>
      <c r="B25" s="11" t="s">
        <v>276</v>
      </c>
      <c r="C25" s="11" t="s">
        <v>692</v>
      </c>
      <c r="D25" s="12" t="s">
        <v>31</v>
      </c>
      <c r="E25" s="11" t="s">
        <v>707</v>
      </c>
      <c r="F25" s="11" t="s">
        <v>723</v>
      </c>
      <c r="G25" s="11" t="s">
        <v>724</v>
      </c>
      <c r="H25" s="11" t="s">
        <v>726</v>
      </c>
      <c r="I25" s="12" t="s">
        <v>28</v>
      </c>
      <c r="J25" s="12" t="s">
        <v>102</v>
      </c>
      <c r="K25" s="12">
        <v>20.0</v>
      </c>
      <c r="L25" s="15" t="s">
        <v>47</v>
      </c>
      <c r="M25" s="17"/>
      <c r="N25" s="17"/>
    </row>
    <row r="26" ht="14.25" customHeight="1">
      <c r="A26" s="19" t="s">
        <v>734</v>
      </c>
      <c r="B26" s="21" t="s">
        <v>276</v>
      </c>
      <c r="C26" s="21" t="s">
        <v>692</v>
      </c>
      <c r="D26" s="19" t="s">
        <v>31</v>
      </c>
      <c r="E26" s="21" t="s">
        <v>738</v>
      </c>
      <c r="F26" s="21" t="s">
        <v>739</v>
      </c>
      <c r="G26" s="21" t="s">
        <v>740</v>
      </c>
      <c r="H26" s="21" t="s">
        <v>741</v>
      </c>
      <c r="I26" s="19" t="s">
        <v>28</v>
      </c>
      <c r="J26" s="19" t="s">
        <v>75</v>
      </c>
      <c r="K26" s="19">
        <v>30.0</v>
      </c>
      <c r="L26" s="15" t="s">
        <v>47</v>
      </c>
      <c r="M26" s="17"/>
      <c r="N26" s="17"/>
    </row>
    <row r="27" ht="14.25" customHeight="1">
      <c r="A27" s="12" t="s">
        <v>748</v>
      </c>
      <c r="B27" s="11" t="s">
        <v>276</v>
      </c>
      <c r="C27" s="11" t="s">
        <v>692</v>
      </c>
      <c r="D27" s="12" t="s">
        <v>31</v>
      </c>
      <c r="E27" s="11" t="s">
        <v>752</v>
      </c>
      <c r="F27" s="11" t="s">
        <v>754</v>
      </c>
      <c r="G27" s="11" t="s">
        <v>755</v>
      </c>
      <c r="H27" s="11" t="s">
        <v>756</v>
      </c>
      <c r="I27" s="12" t="s">
        <v>28</v>
      </c>
      <c r="J27" s="12" t="s">
        <v>102</v>
      </c>
      <c r="K27" s="12">
        <v>25.0</v>
      </c>
      <c r="L27" s="15" t="s">
        <v>47</v>
      </c>
      <c r="M27" s="17"/>
      <c r="N27" s="17"/>
    </row>
    <row r="28" ht="14.25" customHeight="1">
      <c r="A28" s="19" t="s">
        <v>764</v>
      </c>
      <c r="B28" s="21" t="s">
        <v>276</v>
      </c>
      <c r="C28" s="21" t="s">
        <v>767</v>
      </c>
      <c r="D28" s="19" t="s">
        <v>31</v>
      </c>
      <c r="E28" s="21" t="s">
        <v>768</v>
      </c>
      <c r="F28" s="21" t="s">
        <v>770</v>
      </c>
      <c r="G28" s="21" t="s">
        <v>771</v>
      </c>
      <c r="H28" s="21" t="s">
        <v>772</v>
      </c>
      <c r="I28" s="19" t="s">
        <v>29</v>
      </c>
      <c r="J28" s="19" t="s">
        <v>75</v>
      </c>
      <c r="K28" s="19">
        <v>12.0</v>
      </c>
      <c r="L28" s="15" t="s">
        <v>47</v>
      </c>
      <c r="M28" s="17"/>
      <c r="N28" s="17"/>
    </row>
    <row r="29" ht="14.25" customHeight="1">
      <c r="A29" s="12" t="s">
        <v>773</v>
      </c>
      <c r="B29" s="11" t="s">
        <v>276</v>
      </c>
      <c r="C29" s="11" t="s">
        <v>767</v>
      </c>
      <c r="D29" s="12" t="s">
        <v>31</v>
      </c>
      <c r="E29" s="11" t="s">
        <v>777</v>
      </c>
      <c r="F29" s="11" t="s">
        <v>779</v>
      </c>
      <c r="G29" s="11" t="s">
        <v>781</v>
      </c>
      <c r="H29" s="11" t="s">
        <v>783</v>
      </c>
      <c r="I29" s="12" t="s">
        <v>28</v>
      </c>
      <c r="J29" s="12" t="s">
        <v>102</v>
      </c>
      <c r="K29" s="12">
        <v>12.0</v>
      </c>
      <c r="L29" s="15" t="s">
        <v>47</v>
      </c>
      <c r="M29" s="17"/>
      <c r="N29" s="17"/>
    </row>
    <row r="30" ht="14.25" customHeight="1">
      <c r="A30" s="19" t="s">
        <v>790</v>
      </c>
      <c r="B30" s="21" t="s">
        <v>276</v>
      </c>
      <c r="C30" s="21" t="s">
        <v>767</v>
      </c>
      <c r="D30" s="19" t="s">
        <v>31</v>
      </c>
      <c r="E30" s="21" t="s">
        <v>777</v>
      </c>
      <c r="F30" s="21" t="s">
        <v>791</v>
      </c>
      <c r="G30" s="21" t="s">
        <v>792</v>
      </c>
      <c r="H30" s="21" t="s">
        <v>793</v>
      </c>
      <c r="I30" s="19" t="s">
        <v>28</v>
      </c>
      <c r="J30" s="19" t="s">
        <v>75</v>
      </c>
      <c r="K30" s="19">
        <v>15.0</v>
      </c>
      <c r="L30" s="15" t="s">
        <v>47</v>
      </c>
      <c r="M30" s="17"/>
      <c r="N30" s="17"/>
    </row>
    <row r="31" ht="14.25" customHeight="1">
      <c r="A31" s="12" t="s">
        <v>794</v>
      </c>
      <c r="B31" s="11" t="s">
        <v>276</v>
      </c>
      <c r="C31" s="11" t="s">
        <v>767</v>
      </c>
      <c r="D31" s="12" t="s">
        <v>31</v>
      </c>
      <c r="E31" s="11" t="s">
        <v>777</v>
      </c>
      <c r="F31" s="11" t="s">
        <v>796</v>
      </c>
      <c r="G31" s="11" t="s">
        <v>797</v>
      </c>
      <c r="H31" s="11" t="s">
        <v>798</v>
      </c>
      <c r="I31" s="12" t="s">
        <v>28</v>
      </c>
      <c r="J31" s="12" t="s">
        <v>75</v>
      </c>
      <c r="K31" s="12">
        <v>15.0</v>
      </c>
      <c r="L31" s="15" t="s">
        <v>47</v>
      </c>
      <c r="M31" s="17"/>
      <c r="N31" s="17"/>
    </row>
    <row r="32" ht="14.25" customHeight="1">
      <c r="A32" s="19" t="s">
        <v>802</v>
      </c>
      <c r="B32" s="21" t="s">
        <v>276</v>
      </c>
      <c r="C32" s="21" t="s">
        <v>767</v>
      </c>
      <c r="D32" s="19" t="s">
        <v>31</v>
      </c>
      <c r="E32" s="21" t="s">
        <v>777</v>
      </c>
      <c r="F32" s="21" t="s">
        <v>804</v>
      </c>
      <c r="G32" s="21" t="s">
        <v>805</v>
      </c>
      <c r="H32" s="21" t="s">
        <v>807</v>
      </c>
      <c r="I32" s="19" t="s">
        <v>29</v>
      </c>
      <c r="J32" s="19" t="s">
        <v>75</v>
      </c>
      <c r="K32" s="19">
        <v>15.0</v>
      </c>
      <c r="L32" s="15" t="s">
        <v>47</v>
      </c>
      <c r="M32" s="17"/>
      <c r="N32" s="17"/>
    </row>
    <row r="33" ht="14.25" customHeight="1">
      <c r="A33" s="12" t="s">
        <v>812</v>
      </c>
      <c r="B33" s="11" t="s">
        <v>276</v>
      </c>
      <c r="C33" s="11" t="s">
        <v>767</v>
      </c>
      <c r="D33" s="12" t="s">
        <v>31</v>
      </c>
      <c r="E33" s="11" t="s">
        <v>777</v>
      </c>
      <c r="F33" s="11" t="s">
        <v>813</v>
      </c>
      <c r="G33" s="11" t="s">
        <v>814</v>
      </c>
      <c r="H33" s="11" t="s">
        <v>816</v>
      </c>
      <c r="I33" s="12" t="s">
        <v>28</v>
      </c>
      <c r="J33" s="12" t="s">
        <v>102</v>
      </c>
      <c r="K33" s="12">
        <v>15.0</v>
      </c>
      <c r="L33" s="15" t="s">
        <v>47</v>
      </c>
      <c r="M33" s="17"/>
      <c r="N33" s="17"/>
    </row>
    <row r="34" ht="14.25" customHeight="1">
      <c r="A34" s="19" t="s">
        <v>821</v>
      </c>
      <c r="B34" s="21" t="s">
        <v>276</v>
      </c>
      <c r="C34" s="21" t="s">
        <v>767</v>
      </c>
      <c r="D34" s="19" t="s">
        <v>31</v>
      </c>
      <c r="E34" s="21" t="s">
        <v>822</v>
      </c>
      <c r="F34" s="21" t="s">
        <v>823</v>
      </c>
      <c r="G34" s="21" t="s">
        <v>824</v>
      </c>
      <c r="H34" s="21" t="s">
        <v>825</v>
      </c>
      <c r="I34" s="19" t="s">
        <v>28</v>
      </c>
      <c r="J34" s="19" t="s">
        <v>102</v>
      </c>
      <c r="K34" s="19">
        <v>35.0</v>
      </c>
      <c r="L34" s="15" t="s">
        <v>47</v>
      </c>
      <c r="M34" s="17"/>
      <c r="N34" s="17"/>
    </row>
    <row r="35" ht="14.25" customHeight="1">
      <c r="A35" s="12" t="s">
        <v>829</v>
      </c>
      <c r="B35" s="11" t="s">
        <v>276</v>
      </c>
      <c r="C35" s="11" t="s">
        <v>831</v>
      </c>
      <c r="D35" s="12" t="s">
        <v>31</v>
      </c>
      <c r="E35" s="11" t="s">
        <v>833</v>
      </c>
      <c r="F35" s="11" t="s">
        <v>834</v>
      </c>
      <c r="G35" s="11" t="s">
        <v>835</v>
      </c>
      <c r="H35" s="11" t="s">
        <v>836</v>
      </c>
      <c r="I35" s="12" t="s">
        <v>28</v>
      </c>
      <c r="J35" s="12" t="s">
        <v>352</v>
      </c>
      <c r="K35" s="12">
        <v>30.0</v>
      </c>
      <c r="L35" s="15" t="s">
        <v>47</v>
      </c>
      <c r="M35" s="17"/>
      <c r="N35" s="17"/>
    </row>
    <row r="36" ht="14.25" customHeight="1">
      <c r="A36" s="19" t="s">
        <v>837</v>
      </c>
      <c r="B36" s="21" t="s">
        <v>276</v>
      </c>
      <c r="C36" s="21" t="s">
        <v>831</v>
      </c>
      <c r="D36" s="19" t="s">
        <v>31</v>
      </c>
      <c r="E36" s="21" t="s">
        <v>838</v>
      </c>
      <c r="F36" s="21" t="s">
        <v>839</v>
      </c>
      <c r="G36" s="21" t="s">
        <v>840</v>
      </c>
      <c r="H36" s="21" t="s">
        <v>842</v>
      </c>
      <c r="I36" s="19" t="s">
        <v>28</v>
      </c>
      <c r="J36" s="19" t="s">
        <v>352</v>
      </c>
      <c r="K36" s="19">
        <v>30.0</v>
      </c>
      <c r="L36" s="15" t="s">
        <v>47</v>
      </c>
      <c r="M36" s="17"/>
      <c r="N36" s="17"/>
    </row>
    <row r="37" ht="14.25" customHeight="1">
      <c r="A37" s="12" t="s">
        <v>848</v>
      </c>
      <c r="B37" s="11" t="s">
        <v>276</v>
      </c>
      <c r="C37" s="11" t="s">
        <v>831</v>
      </c>
      <c r="D37" s="12" t="s">
        <v>31</v>
      </c>
      <c r="E37" s="11" t="s">
        <v>849</v>
      </c>
      <c r="F37" s="11" t="s">
        <v>850</v>
      </c>
      <c r="G37" s="11" t="s">
        <v>852</v>
      </c>
      <c r="H37" s="11" t="s">
        <v>853</v>
      </c>
      <c r="I37" s="12" t="s">
        <v>29</v>
      </c>
      <c r="J37" s="12" t="s">
        <v>352</v>
      </c>
      <c r="K37" s="12">
        <v>25.0</v>
      </c>
      <c r="L37" s="15" t="s">
        <v>47</v>
      </c>
      <c r="M37" s="17"/>
      <c r="N37" s="17"/>
    </row>
    <row r="38" ht="14.25" customHeight="1">
      <c r="A38" s="19" t="s">
        <v>857</v>
      </c>
      <c r="B38" s="21" t="s">
        <v>276</v>
      </c>
      <c r="C38" s="21" t="s">
        <v>858</v>
      </c>
      <c r="D38" s="19" t="s">
        <v>31</v>
      </c>
      <c r="E38" s="21" t="s">
        <v>500</v>
      </c>
      <c r="F38" s="21" t="s">
        <v>859</v>
      </c>
      <c r="G38" s="21" t="s">
        <v>861</v>
      </c>
      <c r="H38" s="21" t="s">
        <v>862</v>
      </c>
      <c r="I38" s="19" t="s">
        <v>29</v>
      </c>
      <c r="J38" s="19" t="s">
        <v>352</v>
      </c>
      <c r="K38" s="19">
        <v>25.0</v>
      </c>
      <c r="L38" s="15" t="s">
        <v>47</v>
      </c>
      <c r="M38" s="17"/>
      <c r="N38" s="17"/>
    </row>
    <row r="39" ht="14.25" customHeight="1">
      <c r="A39" s="12" t="s">
        <v>866</v>
      </c>
      <c r="B39" s="11" t="s">
        <v>276</v>
      </c>
      <c r="C39" s="11" t="s">
        <v>867</v>
      </c>
      <c r="D39" s="12" t="s">
        <v>31</v>
      </c>
      <c r="E39" s="11" t="s">
        <v>500</v>
      </c>
      <c r="F39" s="11" t="s">
        <v>870</v>
      </c>
      <c r="G39" s="11" t="s">
        <v>872</v>
      </c>
      <c r="H39" s="11" t="s">
        <v>874</v>
      </c>
      <c r="I39" s="12" t="s">
        <v>29</v>
      </c>
      <c r="J39" s="12" t="s">
        <v>75</v>
      </c>
      <c r="K39" s="12">
        <v>15.0</v>
      </c>
      <c r="L39" s="15" t="s">
        <v>47</v>
      </c>
      <c r="M39" s="17"/>
      <c r="N39" s="17"/>
    </row>
    <row r="40" ht="14.25" customHeight="1">
      <c r="A40" s="19" t="s">
        <v>876</v>
      </c>
      <c r="B40" s="21" t="s">
        <v>276</v>
      </c>
      <c r="C40" s="21" t="s">
        <v>877</v>
      </c>
      <c r="D40" s="19" t="s">
        <v>31</v>
      </c>
      <c r="E40" s="21" t="s">
        <v>878</v>
      </c>
      <c r="F40" s="21" t="s">
        <v>879</v>
      </c>
      <c r="G40" s="21" t="s">
        <v>880</v>
      </c>
      <c r="H40" s="21" t="s">
        <v>881</v>
      </c>
      <c r="I40" s="19" t="s">
        <v>28</v>
      </c>
      <c r="J40" s="19" t="s">
        <v>352</v>
      </c>
      <c r="K40" s="19">
        <v>30.0</v>
      </c>
      <c r="L40" s="15" t="s">
        <v>47</v>
      </c>
      <c r="M40" s="17"/>
      <c r="N40" s="17"/>
    </row>
    <row r="41" ht="14.25" customHeight="1">
      <c r="A41" s="12" t="s">
        <v>882</v>
      </c>
      <c r="B41" s="11" t="s">
        <v>276</v>
      </c>
      <c r="C41" s="11" t="s">
        <v>883</v>
      </c>
      <c r="D41" s="12" t="s">
        <v>31</v>
      </c>
      <c r="E41" s="11" t="s">
        <v>884</v>
      </c>
      <c r="F41" s="11" t="s">
        <v>885</v>
      </c>
      <c r="G41" s="11" t="s">
        <v>886</v>
      </c>
      <c r="H41" s="11" t="s">
        <v>887</v>
      </c>
      <c r="I41" s="12" t="s">
        <v>29</v>
      </c>
      <c r="J41" s="12" t="s">
        <v>75</v>
      </c>
      <c r="K41" s="12">
        <v>18.0</v>
      </c>
      <c r="L41" s="15" t="s">
        <v>47</v>
      </c>
      <c r="M41" s="17"/>
      <c r="N41" s="17"/>
    </row>
    <row r="42" ht="14.25" customHeight="1">
      <c r="A42" s="19" t="s">
        <v>889</v>
      </c>
      <c r="B42" s="21" t="s">
        <v>276</v>
      </c>
      <c r="C42" s="21" t="s">
        <v>883</v>
      </c>
      <c r="D42" s="19" t="s">
        <v>31</v>
      </c>
      <c r="E42" s="21" t="s">
        <v>884</v>
      </c>
      <c r="F42" s="21" t="s">
        <v>890</v>
      </c>
      <c r="G42" s="21" t="s">
        <v>891</v>
      </c>
      <c r="H42" s="21" t="s">
        <v>892</v>
      </c>
      <c r="I42" s="19" t="s">
        <v>29</v>
      </c>
      <c r="J42" s="19" t="s">
        <v>75</v>
      </c>
      <c r="K42" s="19">
        <v>20.0</v>
      </c>
      <c r="L42" s="15" t="s">
        <v>47</v>
      </c>
      <c r="M42" s="17"/>
      <c r="N42" s="17"/>
    </row>
    <row r="43" ht="14.25" customHeight="1">
      <c r="A43" s="12" t="s">
        <v>893</v>
      </c>
      <c r="B43" s="11" t="s">
        <v>276</v>
      </c>
      <c r="C43" s="11" t="s">
        <v>894</v>
      </c>
      <c r="D43" s="12" t="s">
        <v>31</v>
      </c>
      <c r="E43" s="11" t="s">
        <v>895</v>
      </c>
      <c r="F43" s="11" t="s">
        <v>896</v>
      </c>
      <c r="G43" s="11" t="s">
        <v>897</v>
      </c>
      <c r="H43" s="11" t="s">
        <v>898</v>
      </c>
      <c r="I43" s="12" t="s">
        <v>28</v>
      </c>
      <c r="J43" s="12" t="s">
        <v>114</v>
      </c>
      <c r="K43" s="12">
        <v>25.0</v>
      </c>
      <c r="L43" s="15" t="s">
        <v>47</v>
      </c>
      <c r="M43" s="17"/>
      <c r="N43" s="17"/>
    </row>
    <row r="44" ht="14.25" customHeight="1"/>
    <row r="45" ht="14.25" customHeight="1">
      <c r="J45" s="3" t="s">
        <v>789</v>
      </c>
      <c r="K45" s="27">
        <f>SUM(K3:K43)</f>
        <v>828</v>
      </c>
    </row>
    <row r="46" ht="14.25" customHeight="1">
      <c r="J46" s="3" t="s">
        <v>808</v>
      </c>
      <c r="K46" s="28">
        <f>K45/60</f>
        <v>13.8</v>
      </c>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43"/>
  <mergeCells count="1">
    <mergeCell ref="A1:N1"/>
  </mergeCells>
  <conditionalFormatting sqref="L3:L43">
    <cfRule type="cellIs" dxfId="0" priority="1" operator="equal">
      <formula>"Pass"</formula>
    </cfRule>
  </conditionalFormatting>
  <conditionalFormatting sqref="L3:L43">
    <cfRule type="cellIs" dxfId="1" priority="2" operator="equal">
      <formula>"Fail"</formula>
    </cfRule>
  </conditionalFormatting>
  <conditionalFormatting sqref="L3:L43">
    <cfRule type="cellIs" dxfId="2" priority="3" operator="equal">
      <formula>"Blocked"</formula>
    </cfRule>
  </conditionalFormatting>
  <dataValidations>
    <dataValidation type="list" allowBlank="1" sqref="L3:L43">
      <formula1>"Not Run,Pass,Fail,Blocked,N-A"</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922</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924</v>
      </c>
      <c r="B3" s="11" t="s">
        <v>367</v>
      </c>
      <c r="C3" s="11" t="s">
        <v>926</v>
      </c>
      <c r="D3" s="12" t="s">
        <v>31</v>
      </c>
      <c r="E3" s="11" t="s">
        <v>68</v>
      </c>
      <c r="F3" s="11" t="s">
        <v>927</v>
      </c>
      <c r="G3" s="11" t="s">
        <v>928</v>
      </c>
      <c r="H3" s="11" t="s">
        <v>929</v>
      </c>
      <c r="I3" s="12" t="s">
        <v>28</v>
      </c>
      <c r="J3" s="12" t="s">
        <v>75</v>
      </c>
      <c r="K3" s="12">
        <v>10.0</v>
      </c>
      <c r="L3" s="15" t="s">
        <v>47</v>
      </c>
      <c r="M3" s="17"/>
      <c r="N3" s="17"/>
    </row>
    <row r="4" ht="14.25" customHeight="1">
      <c r="A4" s="19" t="s">
        <v>930</v>
      </c>
      <c r="B4" s="21" t="s">
        <v>367</v>
      </c>
      <c r="C4" s="21" t="s">
        <v>931</v>
      </c>
      <c r="D4" s="19" t="s">
        <v>31</v>
      </c>
      <c r="E4" s="21" t="s">
        <v>932</v>
      </c>
      <c r="F4" s="21" t="s">
        <v>933</v>
      </c>
      <c r="G4" s="21" t="s">
        <v>934</v>
      </c>
      <c r="H4" s="21" t="s">
        <v>935</v>
      </c>
      <c r="I4" s="19" t="s">
        <v>29</v>
      </c>
      <c r="J4" s="19" t="s">
        <v>197</v>
      </c>
      <c r="K4" s="19">
        <v>10.0</v>
      </c>
      <c r="L4" s="15" t="s">
        <v>47</v>
      </c>
      <c r="M4" s="17"/>
      <c r="N4" s="17"/>
    </row>
    <row r="5" ht="14.25" customHeight="1">
      <c r="A5" s="12" t="s">
        <v>936</v>
      </c>
      <c r="B5" s="11" t="s">
        <v>367</v>
      </c>
      <c r="C5" s="11" t="s">
        <v>937</v>
      </c>
      <c r="D5" s="12" t="s">
        <v>31</v>
      </c>
      <c r="E5" s="11" t="s">
        <v>932</v>
      </c>
      <c r="F5" s="11" t="s">
        <v>938</v>
      </c>
      <c r="G5" s="11" t="s">
        <v>940</v>
      </c>
      <c r="H5" s="11" t="s">
        <v>941</v>
      </c>
      <c r="I5" s="12" t="s">
        <v>29</v>
      </c>
      <c r="J5" s="12" t="s">
        <v>75</v>
      </c>
      <c r="K5" s="12">
        <v>15.0</v>
      </c>
      <c r="L5" s="15" t="s">
        <v>47</v>
      </c>
      <c r="M5" s="17"/>
      <c r="N5" s="17"/>
    </row>
    <row r="6" ht="14.25" customHeight="1">
      <c r="A6" s="19" t="s">
        <v>944</v>
      </c>
      <c r="B6" s="21" t="s">
        <v>367</v>
      </c>
      <c r="C6" s="21" t="s">
        <v>947</v>
      </c>
      <c r="D6" s="19" t="s">
        <v>31</v>
      </c>
      <c r="E6" s="21" t="s">
        <v>932</v>
      </c>
      <c r="F6" s="21" t="s">
        <v>948</v>
      </c>
      <c r="G6" s="21" t="s">
        <v>949</v>
      </c>
      <c r="H6" s="21" t="s">
        <v>950</v>
      </c>
      <c r="I6" s="19" t="s">
        <v>29</v>
      </c>
      <c r="J6" s="19" t="s">
        <v>197</v>
      </c>
      <c r="K6" s="19">
        <v>8.0</v>
      </c>
      <c r="L6" s="15" t="s">
        <v>47</v>
      </c>
      <c r="M6" s="17"/>
      <c r="N6" s="17"/>
    </row>
    <row r="7" ht="14.25" customHeight="1">
      <c r="A7" s="12" t="s">
        <v>951</v>
      </c>
      <c r="B7" s="11" t="s">
        <v>367</v>
      </c>
      <c r="C7" s="11" t="s">
        <v>947</v>
      </c>
      <c r="D7" s="12" t="s">
        <v>31</v>
      </c>
      <c r="E7" s="11" t="s">
        <v>932</v>
      </c>
      <c r="F7" s="11" t="s">
        <v>952</v>
      </c>
      <c r="G7" s="11" t="s">
        <v>953</v>
      </c>
      <c r="H7" s="11" t="s">
        <v>954</v>
      </c>
      <c r="I7" s="12" t="s">
        <v>28</v>
      </c>
      <c r="J7" s="12" t="s">
        <v>75</v>
      </c>
      <c r="K7" s="12">
        <v>25.0</v>
      </c>
      <c r="L7" s="15" t="s">
        <v>47</v>
      </c>
      <c r="M7" s="17"/>
      <c r="N7" s="17"/>
    </row>
    <row r="8" ht="14.25" customHeight="1">
      <c r="A8" s="19" t="s">
        <v>958</v>
      </c>
      <c r="B8" s="21" t="s">
        <v>367</v>
      </c>
      <c r="C8" s="21" t="s">
        <v>947</v>
      </c>
      <c r="D8" s="19" t="s">
        <v>31</v>
      </c>
      <c r="E8" s="21" t="s">
        <v>960</v>
      </c>
      <c r="F8" s="21" t="s">
        <v>961</v>
      </c>
      <c r="G8" s="21" t="s">
        <v>962</v>
      </c>
      <c r="H8" s="21" t="s">
        <v>963</v>
      </c>
      <c r="I8" s="19" t="s">
        <v>29</v>
      </c>
      <c r="J8" s="19" t="s">
        <v>75</v>
      </c>
      <c r="K8" s="19">
        <v>15.0</v>
      </c>
      <c r="L8" s="15" t="s">
        <v>47</v>
      </c>
      <c r="M8" s="17"/>
      <c r="N8" s="17"/>
    </row>
    <row r="9" ht="14.25" customHeight="1">
      <c r="A9" s="12" t="s">
        <v>970</v>
      </c>
      <c r="B9" s="11" t="s">
        <v>367</v>
      </c>
      <c r="C9" s="11" t="s">
        <v>972</v>
      </c>
      <c r="D9" s="12" t="s">
        <v>31</v>
      </c>
      <c r="E9" s="11" t="s">
        <v>932</v>
      </c>
      <c r="F9" s="11" t="s">
        <v>975</v>
      </c>
      <c r="G9" s="11" t="s">
        <v>977</v>
      </c>
      <c r="H9" s="11" t="s">
        <v>979</v>
      </c>
      <c r="I9" s="12" t="s">
        <v>29</v>
      </c>
      <c r="J9" s="12" t="s">
        <v>75</v>
      </c>
      <c r="K9" s="12">
        <v>12.0</v>
      </c>
      <c r="L9" s="15" t="s">
        <v>47</v>
      </c>
      <c r="M9" s="17"/>
      <c r="N9" s="17"/>
    </row>
    <row r="10" ht="14.25" customHeight="1">
      <c r="A10" s="19" t="s">
        <v>981</v>
      </c>
      <c r="B10" s="21" t="s">
        <v>367</v>
      </c>
      <c r="C10" s="21" t="s">
        <v>972</v>
      </c>
      <c r="D10" s="19" t="s">
        <v>31</v>
      </c>
      <c r="E10" s="21" t="s">
        <v>985</v>
      </c>
      <c r="F10" s="21" t="s">
        <v>987</v>
      </c>
      <c r="G10" s="21" t="s">
        <v>988</v>
      </c>
      <c r="H10" s="21" t="s">
        <v>989</v>
      </c>
      <c r="I10" s="19" t="s">
        <v>29</v>
      </c>
      <c r="J10" s="19" t="s">
        <v>75</v>
      </c>
      <c r="K10" s="19">
        <v>18.0</v>
      </c>
      <c r="L10" s="15" t="s">
        <v>47</v>
      </c>
      <c r="M10" s="17"/>
      <c r="N10" s="17"/>
    </row>
    <row r="11" ht="14.25" customHeight="1">
      <c r="A11" s="12" t="s">
        <v>991</v>
      </c>
      <c r="B11" s="11" t="s">
        <v>367</v>
      </c>
      <c r="C11" s="11" t="s">
        <v>994</v>
      </c>
      <c r="D11" s="12" t="s">
        <v>31</v>
      </c>
      <c r="E11" s="11" t="s">
        <v>932</v>
      </c>
      <c r="F11" s="11" t="s">
        <v>997</v>
      </c>
      <c r="G11" s="11" t="s">
        <v>998</v>
      </c>
      <c r="H11" s="11" t="s">
        <v>999</v>
      </c>
      <c r="I11" s="12" t="s">
        <v>29</v>
      </c>
      <c r="J11" s="12" t="s">
        <v>75</v>
      </c>
      <c r="K11" s="12">
        <v>15.0</v>
      </c>
      <c r="L11" s="15" t="s">
        <v>47</v>
      </c>
      <c r="M11" s="17"/>
      <c r="N11" s="17"/>
    </row>
    <row r="12" ht="14.25" customHeight="1">
      <c r="A12" s="19" t="s">
        <v>1001</v>
      </c>
      <c r="B12" s="21" t="s">
        <v>367</v>
      </c>
      <c r="C12" s="21" t="s">
        <v>1004</v>
      </c>
      <c r="D12" s="19" t="s">
        <v>31</v>
      </c>
      <c r="E12" s="21" t="s">
        <v>932</v>
      </c>
      <c r="F12" s="21" t="s">
        <v>1006</v>
      </c>
      <c r="G12" s="21" t="s">
        <v>1007</v>
      </c>
      <c r="H12" s="21" t="s">
        <v>1008</v>
      </c>
      <c r="I12" s="19" t="s">
        <v>28</v>
      </c>
      <c r="J12" s="19" t="s">
        <v>102</v>
      </c>
      <c r="K12" s="19">
        <v>18.0</v>
      </c>
      <c r="L12" s="15" t="s">
        <v>47</v>
      </c>
      <c r="M12" s="17"/>
      <c r="N12" s="17"/>
    </row>
    <row r="13" ht="14.25" customHeight="1">
      <c r="A13" s="12" t="s">
        <v>1010</v>
      </c>
      <c r="B13" s="11" t="s">
        <v>367</v>
      </c>
      <c r="C13" s="11" t="s">
        <v>1004</v>
      </c>
      <c r="D13" s="12" t="s">
        <v>31</v>
      </c>
      <c r="E13" s="11" t="s">
        <v>1014</v>
      </c>
      <c r="F13" s="11" t="s">
        <v>1015</v>
      </c>
      <c r="G13" s="11" t="s">
        <v>1016</v>
      </c>
      <c r="H13" s="11" t="s">
        <v>1017</v>
      </c>
      <c r="I13" s="12" t="s">
        <v>29</v>
      </c>
      <c r="J13" s="12" t="s">
        <v>102</v>
      </c>
      <c r="K13" s="12">
        <v>18.0</v>
      </c>
      <c r="L13" s="15" t="s">
        <v>47</v>
      </c>
      <c r="M13" s="17"/>
      <c r="N13" s="17"/>
    </row>
    <row r="14" ht="14.25" customHeight="1">
      <c r="A14" s="19" t="s">
        <v>1022</v>
      </c>
      <c r="B14" s="21" t="s">
        <v>367</v>
      </c>
      <c r="C14" s="21" t="s">
        <v>1004</v>
      </c>
      <c r="D14" s="19" t="s">
        <v>31</v>
      </c>
      <c r="E14" s="21" t="s">
        <v>1023</v>
      </c>
      <c r="F14" s="21" t="s">
        <v>1024</v>
      </c>
      <c r="G14" s="21" t="s">
        <v>1026</v>
      </c>
      <c r="H14" s="21" t="s">
        <v>1027</v>
      </c>
      <c r="I14" s="19" t="s">
        <v>29</v>
      </c>
      <c r="J14" s="19" t="s">
        <v>197</v>
      </c>
      <c r="K14" s="19">
        <v>12.0</v>
      </c>
      <c r="L14" s="15" t="s">
        <v>47</v>
      </c>
      <c r="M14" s="17"/>
      <c r="N14" s="17"/>
    </row>
    <row r="15" ht="14.25" customHeight="1">
      <c r="A15" s="12" t="s">
        <v>1032</v>
      </c>
      <c r="B15" s="11" t="s">
        <v>367</v>
      </c>
      <c r="C15" s="11" t="s">
        <v>1004</v>
      </c>
      <c r="D15" s="12" t="s">
        <v>31</v>
      </c>
      <c r="E15" s="11" t="s">
        <v>932</v>
      </c>
      <c r="F15" s="11" t="s">
        <v>1034</v>
      </c>
      <c r="G15" s="11" t="s">
        <v>1036</v>
      </c>
      <c r="H15" s="11" t="s">
        <v>1037</v>
      </c>
      <c r="I15" s="12" t="s">
        <v>28</v>
      </c>
      <c r="J15" s="12" t="s">
        <v>102</v>
      </c>
      <c r="K15" s="12">
        <v>25.0</v>
      </c>
      <c r="L15" s="15" t="s">
        <v>47</v>
      </c>
      <c r="M15" s="17"/>
      <c r="N15" s="17"/>
    </row>
    <row r="16" ht="14.25" customHeight="1">
      <c r="A16" s="19" t="s">
        <v>1042</v>
      </c>
      <c r="B16" s="21" t="s">
        <v>367</v>
      </c>
      <c r="C16" s="21" t="s">
        <v>1043</v>
      </c>
      <c r="D16" s="19" t="s">
        <v>31</v>
      </c>
      <c r="E16" s="21" t="s">
        <v>932</v>
      </c>
      <c r="F16" s="21" t="s">
        <v>1044</v>
      </c>
      <c r="G16" s="21" t="s">
        <v>1045</v>
      </c>
      <c r="H16" s="21" t="s">
        <v>1046</v>
      </c>
      <c r="I16" s="19" t="s">
        <v>28</v>
      </c>
      <c r="J16" s="19" t="s">
        <v>197</v>
      </c>
      <c r="K16" s="19">
        <v>10.0</v>
      </c>
      <c r="L16" s="15" t="s">
        <v>47</v>
      </c>
      <c r="M16" s="17"/>
      <c r="N16" s="17"/>
    </row>
    <row r="17" ht="14.25" customHeight="1">
      <c r="A17" s="12" t="s">
        <v>1049</v>
      </c>
      <c r="B17" s="11" t="s">
        <v>367</v>
      </c>
      <c r="C17" s="11" t="s">
        <v>1043</v>
      </c>
      <c r="D17" s="12" t="s">
        <v>31</v>
      </c>
      <c r="E17" s="11" t="s">
        <v>1054</v>
      </c>
      <c r="F17" s="11" t="s">
        <v>1055</v>
      </c>
      <c r="G17" s="11" t="s">
        <v>1056</v>
      </c>
      <c r="H17" s="11" t="s">
        <v>1057</v>
      </c>
      <c r="I17" s="12" t="s">
        <v>28</v>
      </c>
      <c r="J17" s="12" t="s">
        <v>75</v>
      </c>
      <c r="K17" s="12">
        <v>18.0</v>
      </c>
      <c r="L17" s="15" t="s">
        <v>47</v>
      </c>
      <c r="M17" s="17"/>
      <c r="N17" s="17"/>
    </row>
    <row r="18" ht="14.25" customHeight="1">
      <c r="A18" s="19" t="s">
        <v>1061</v>
      </c>
      <c r="B18" s="21" t="s">
        <v>367</v>
      </c>
      <c r="C18" s="21" t="s">
        <v>1064</v>
      </c>
      <c r="D18" s="19" t="s">
        <v>31</v>
      </c>
      <c r="E18" s="21" t="s">
        <v>932</v>
      </c>
      <c r="F18" s="21" t="s">
        <v>1066</v>
      </c>
      <c r="G18" s="21" t="s">
        <v>1067</v>
      </c>
      <c r="H18" s="21" t="s">
        <v>1068</v>
      </c>
      <c r="I18" s="19" t="s">
        <v>28</v>
      </c>
      <c r="J18" s="19" t="s">
        <v>75</v>
      </c>
      <c r="K18" s="19">
        <v>12.0</v>
      </c>
      <c r="L18" s="15" t="s">
        <v>47</v>
      </c>
      <c r="M18" s="17"/>
      <c r="N18" s="17"/>
    </row>
    <row r="19" ht="14.25" customHeight="1">
      <c r="A19" s="12" t="s">
        <v>1073</v>
      </c>
      <c r="B19" s="11" t="s">
        <v>367</v>
      </c>
      <c r="C19" s="11" t="s">
        <v>1075</v>
      </c>
      <c r="D19" s="12" t="s">
        <v>31</v>
      </c>
      <c r="E19" s="11" t="s">
        <v>1077</v>
      </c>
      <c r="F19" s="11" t="s">
        <v>1078</v>
      </c>
      <c r="G19" s="11" t="s">
        <v>1080</v>
      </c>
      <c r="H19" s="11" t="s">
        <v>1081</v>
      </c>
      <c r="I19" s="12" t="s">
        <v>29</v>
      </c>
      <c r="J19" s="12" t="s">
        <v>197</v>
      </c>
      <c r="K19" s="12">
        <v>10.0</v>
      </c>
      <c r="L19" s="15" t="s">
        <v>47</v>
      </c>
      <c r="M19" s="17"/>
      <c r="N19" s="17"/>
    </row>
    <row r="20" ht="14.25" customHeight="1">
      <c r="A20" s="19" t="s">
        <v>1086</v>
      </c>
      <c r="B20" s="21" t="s">
        <v>367</v>
      </c>
      <c r="C20" s="21" t="s">
        <v>1087</v>
      </c>
      <c r="D20" s="19" t="s">
        <v>31</v>
      </c>
      <c r="E20" s="21" t="s">
        <v>1077</v>
      </c>
      <c r="F20" s="21" t="s">
        <v>1089</v>
      </c>
      <c r="G20" s="21" t="s">
        <v>1090</v>
      </c>
      <c r="H20" s="21" t="s">
        <v>1091</v>
      </c>
      <c r="I20" s="19" t="s">
        <v>28</v>
      </c>
      <c r="J20" s="19" t="s">
        <v>103</v>
      </c>
      <c r="K20" s="19">
        <v>12.0</v>
      </c>
      <c r="L20" s="15" t="s">
        <v>47</v>
      </c>
      <c r="M20" s="17"/>
      <c r="N20" s="17"/>
    </row>
    <row r="21" ht="14.25" customHeight="1">
      <c r="A21" s="12" t="s">
        <v>1096</v>
      </c>
      <c r="B21" s="11" t="s">
        <v>367</v>
      </c>
      <c r="C21" s="11" t="s">
        <v>1075</v>
      </c>
      <c r="D21" s="12" t="s">
        <v>31</v>
      </c>
      <c r="E21" s="11" t="s">
        <v>1077</v>
      </c>
      <c r="F21" s="11" t="s">
        <v>1097</v>
      </c>
      <c r="G21" s="11" t="s">
        <v>1099</v>
      </c>
      <c r="H21" s="11" t="s">
        <v>1100</v>
      </c>
      <c r="I21" s="12" t="s">
        <v>29</v>
      </c>
      <c r="J21" s="12" t="s">
        <v>103</v>
      </c>
      <c r="K21" s="12">
        <v>20.0</v>
      </c>
      <c r="L21" s="15" t="s">
        <v>47</v>
      </c>
      <c r="M21" s="17"/>
      <c r="N21" s="17"/>
    </row>
    <row r="22" ht="14.25" customHeight="1">
      <c r="A22" s="19" t="s">
        <v>1105</v>
      </c>
      <c r="B22" s="21" t="s">
        <v>367</v>
      </c>
      <c r="C22" s="21" t="s">
        <v>1075</v>
      </c>
      <c r="D22" s="19" t="s">
        <v>31</v>
      </c>
      <c r="E22" s="21" t="s">
        <v>1077</v>
      </c>
      <c r="F22" s="21" t="s">
        <v>1106</v>
      </c>
      <c r="G22" s="21" t="s">
        <v>1107</v>
      </c>
      <c r="H22" s="21" t="s">
        <v>1108</v>
      </c>
      <c r="I22" s="19" t="s">
        <v>29</v>
      </c>
      <c r="J22" s="19" t="s">
        <v>75</v>
      </c>
      <c r="K22" s="19">
        <v>10.0</v>
      </c>
      <c r="L22" s="15" t="s">
        <v>47</v>
      </c>
      <c r="M22" s="17"/>
      <c r="N22" s="17"/>
    </row>
    <row r="23" ht="14.25" customHeight="1">
      <c r="A23" s="12" t="s">
        <v>1110</v>
      </c>
      <c r="B23" s="11" t="s">
        <v>367</v>
      </c>
      <c r="C23" s="11" t="s">
        <v>1087</v>
      </c>
      <c r="D23" s="12" t="s">
        <v>31</v>
      </c>
      <c r="E23" s="11" t="s">
        <v>1077</v>
      </c>
      <c r="F23" s="11" t="s">
        <v>1113</v>
      </c>
      <c r="G23" s="11" t="s">
        <v>1115</v>
      </c>
      <c r="H23" s="11" t="s">
        <v>1116</v>
      </c>
      <c r="I23" s="12" t="s">
        <v>28</v>
      </c>
      <c r="J23" s="12" t="s">
        <v>103</v>
      </c>
      <c r="K23" s="12">
        <v>12.0</v>
      </c>
      <c r="L23" s="15" t="s">
        <v>47</v>
      </c>
      <c r="M23" s="17"/>
      <c r="N23" s="17"/>
    </row>
    <row r="24" ht="14.25" customHeight="1">
      <c r="A24" s="19" t="s">
        <v>1118</v>
      </c>
      <c r="B24" s="21" t="s">
        <v>367</v>
      </c>
      <c r="C24" s="21" t="s">
        <v>1075</v>
      </c>
      <c r="D24" s="19" t="s">
        <v>31</v>
      </c>
      <c r="E24" s="21" t="s">
        <v>1077</v>
      </c>
      <c r="F24" s="21" t="s">
        <v>1119</v>
      </c>
      <c r="G24" s="21" t="s">
        <v>1120</v>
      </c>
      <c r="H24" s="21" t="s">
        <v>1121</v>
      </c>
      <c r="I24" s="19" t="s">
        <v>28</v>
      </c>
      <c r="J24" s="19" t="s">
        <v>75</v>
      </c>
      <c r="K24" s="19">
        <v>10.0</v>
      </c>
      <c r="L24" s="15" t="s">
        <v>47</v>
      </c>
      <c r="M24" s="17"/>
      <c r="N24" s="17"/>
    </row>
    <row r="25" ht="14.25" customHeight="1">
      <c r="A25" s="12" t="s">
        <v>1126</v>
      </c>
      <c r="B25" s="11" t="s">
        <v>367</v>
      </c>
      <c r="C25" s="11" t="s">
        <v>1075</v>
      </c>
      <c r="D25" s="12" t="s">
        <v>31</v>
      </c>
      <c r="E25" s="11" t="s">
        <v>1077</v>
      </c>
      <c r="F25" s="11" t="s">
        <v>1128</v>
      </c>
      <c r="G25" s="11" t="s">
        <v>1129</v>
      </c>
      <c r="H25" s="11" t="s">
        <v>1131</v>
      </c>
      <c r="I25" s="12" t="s">
        <v>28</v>
      </c>
      <c r="J25" s="12" t="s">
        <v>114</v>
      </c>
      <c r="K25" s="12">
        <v>15.0</v>
      </c>
      <c r="L25" s="15" t="s">
        <v>47</v>
      </c>
      <c r="M25" s="17"/>
      <c r="N25" s="17"/>
    </row>
    <row r="26" ht="14.25" customHeight="1">
      <c r="A26" s="19" t="s">
        <v>1138</v>
      </c>
      <c r="B26" s="21" t="s">
        <v>367</v>
      </c>
      <c r="C26" s="21" t="s">
        <v>1075</v>
      </c>
      <c r="D26" s="19" t="s">
        <v>31</v>
      </c>
      <c r="E26" s="21" t="s">
        <v>1077</v>
      </c>
      <c r="F26" s="21" t="s">
        <v>1139</v>
      </c>
      <c r="G26" s="21" t="s">
        <v>1140</v>
      </c>
      <c r="H26" s="21" t="s">
        <v>1142</v>
      </c>
      <c r="I26" s="19" t="s">
        <v>28</v>
      </c>
      <c r="J26" s="19" t="s">
        <v>75</v>
      </c>
      <c r="K26" s="19">
        <v>15.0</v>
      </c>
      <c r="L26" s="15" t="s">
        <v>47</v>
      </c>
      <c r="M26" s="17"/>
      <c r="N26" s="17"/>
    </row>
    <row r="27" ht="14.25" customHeight="1">
      <c r="A27" s="12" t="s">
        <v>1146</v>
      </c>
      <c r="B27" s="11" t="s">
        <v>367</v>
      </c>
      <c r="C27" s="11" t="s">
        <v>1075</v>
      </c>
      <c r="D27" s="12" t="s">
        <v>31</v>
      </c>
      <c r="E27" s="11" t="s">
        <v>1148</v>
      </c>
      <c r="F27" s="11" t="s">
        <v>1149</v>
      </c>
      <c r="G27" s="11" t="s">
        <v>1150</v>
      </c>
      <c r="H27" s="11" t="s">
        <v>1152</v>
      </c>
      <c r="I27" s="12" t="s">
        <v>28</v>
      </c>
      <c r="J27" s="12" t="s">
        <v>352</v>
      </c>
      <c r="K27" s="12">
        <v>25.0</v>
      </c>
      <c r="L27" s="15" t="s">
        <v>47</v>
      </c>
      <c r="M27" s="17"/>
      <c r="N27" s="17"/>
    </row>
    <row r="28" ht="14.25" customHeight="1">
      <c r="A28" s="19" t="s">
        <v>1155</v>
      </c>
      <c r="B28" s="21" t="s">
        <v>367</v>
      </c>
      <c r="C28" s="21" t="s">
        <v>1075</v>
      </c>
      <c r="D28" s="19" t="s">
        <v>31</v>
      </c>
      <c r="E28" s="21" t="s">
        <v>1077</v>
      </c>
      <c r="F28" s="21" t="s">
        <v>1160</v>
      </c>
      <c r="G28" s="21" t="s">
        <v>1162</v>
      </c>
      <c r="H28" s="21" t="s">
        <v>1163</v>
      </c>
      <c r="I28" s="19" t="s">
        <v>28</v>
      </c>
      <c r="J28" s="19" t="s">
        <v>75</v>
      </c>
      <c r="K28" s="19">
        <v>15.0</v>
      </c>
      <c r="L28" s="15" t="s">
        <v>47</v>
      </c>
      <c r="M28" s="17"/>
      <c r="N28" s="17"/>
    </row>
    <row r="29" ht="14.25" customHeight="1">
      <c r="A29" s="12" t="s">
        <v>1166</v>
      </c>
      <c r="B29" s="11" t="s">
        <v>367</v>
      </c>
      <c r="C29" s="11" t="s">
        <v>1075</v>
      </c>
      <c r="D29" s="12" t="s">
        <v>31</v>
      </c>
      <c r="E29" s="11" t="s">
        <v>1077</v>
      </c>
      <c r="F29" s="11" t="s">
        <v>1171</v>
      </c>
      <c r="G29" s="11" t="s">
        <v>1173</v>
      </c>
      <c r="H29" s="11" t="s">
        <v>1175</v>
      </c>
      <c r="I29" s="12" t="s">
        <v>29</v>
      </c>
      <c r="J29" s="12" t="s">
        <v>75</v>
      </c>
      <c r="K29" s="12">
        <v>15.0</v>
      </c>
      <c r="L29" s="15" t="s">
        <v>47</v>
      </c>
      <c r="M29" s="17"/>
      <c r="N29" s="17"/>
    </row>
    <row r="30" ht="14.25" customHeight="1">
      <c r="A30" s="19" t="s">
        <v>1177</v>
      </c>
      <c r="B30" s="21" t="s">
        <v>367</v>
      </c>
      <c r="C30" s="21" t="s">
        <v>1075</v>
      </c>
      <c r="D30" s="19" t="s">
        <v>31</v>
      </c>
      <c r="E30" s="21" t="s">
        <v>1077</v>
      </c>
      <c r="F30" s="21" t="s">
        <v>1181</v>
      </c>
      <c r="G30" s="21" t="s">
        <v>1183</v>
      </c>
      <c r="H30" s="21" t="s">
        <v>1184</v>
      </c>
      <c r="I30" s="19" t="s">
        <v>28</v>
      </c>
      <c r="J30" s="19" t="s">
        <v>75</v>
      </c>
      <c r="K30" s="19">
        <v>20.0</v>
      </c>
      <c r="L30" s="15" t="s">
        <v>47</v>
      </c>
      <c r="M30" s="17"/>
      <c r="N30" s="17"/>
    </row>
    <row r="31" ht="14.25" customHeight="1">
      <c r="A31" s="12" t="s">
        <v>1188</v>
      </c>
      <c r="B31" s="11" t="s">
        <v>367</v>
      </c>
      <c r="C31" s="11" t="s">
        <v>1075</v>
      </c>
      <c r="D31" s="12" t="s">
        <v>31</v>
      </c>
      <c r="E31" s="11" t="s">
        <v>1077</v>
      </c>
      <c r="F31" s="11" t="s">
        <v>1191</v>
      </c>
      <c r="G31" s="11" t="s">
        <v>1193</v>
      </c>
      <c r="H31" s="11" t="s">
        <v>1195</v>
      </c>
      <c r="I31" s="12" t="s">
        <v>29</v>
      </c>
      <c r="J31" s="12" t="s">
        <v>75</v>
      </c>
      <c r="K31" s="12">
        <v>20.0</v>
      </c>
      <c r="L31" s="15" t="s">
        <v>47</v>
      </c>
      <c r="M31" s="17"/>
      <c r="N31" s="17"/>
    </row>
    <row r="32" ht="14.25" customHeight="1">
      <c r="A32" s="19" t="s">
        <v>1202</v>
      </c>
      <c r="B32" s="21" t="s">
        <v>367</v>
      </c>
      <c r="C32" s="21" t="s">
        <v>1075</v>
      </c>
      <c r="D32" s="19" t="s">
        <v>31</v>
      </c>
      <c r="E32" s="21" t="s">
        <v>1077</v>
      </c>
      <c r="F32" s="21" t="s">
        <v>1208</v>
      </c>
      <c r="G32" s="21" t="s">
        <v>1209</v>
      </c>
      <c r="H32" s="21" t="s">
        <v>1210</v>
      </c>
      <c r="I32" s="19" t="s">
        <v>30</v>
      </c>
      <c r="J32" s="19" t="s">
        <v>114</v>
      </c>
      <c r="K32" s="19">
        <v>15.0</v>
      </c>
      <c r="L32" s="15" t="s">
        <v>47</v>
      </c>
      <c r="M32" s="17"/>
      <c r="N32" s="17"/>
    </row>
    <row r="33" ht="14.25" customHeight="1">
      <c r="A33" s="12" t="s">
        <v>1214</v>
      </c>
      <c r="B33" s="11" t="s">
        <v>367</v>
      </c>
      <c r="C33" s="11" t="s">
        <v>1217</v>
      </c>
      <c r="D33" s="12" t="s">
        <v>31</v>
      </c>
      <c r="E33" s="11" t="s">
        <v>1077</v>
      </c>
      <c r="F33" s="11" t="s">
        <v>1225</v>
      </c>
      <c r="G33" s="11" t="s">
        <v>1227</v>
      </c>
      <c r="H33" s="11" t="s">
        <v>1230</v>
      </c>
      <c r="I33" s="12" t="s">
        <v>29</v>
      </c>
      <c r="J33" s="12" t="s">
        <v>103</v>
      </c>
      <c r="K33" s="12">
        <v>12.0</v>
      </c>
      <c r="L33" s="15" t="s">
        <v>47</v>
      </c>
      <c r="M33" s="17"/>
      <c r="N33" s="17"/>
    </row>
    <row r="34" ht="14.25" customHeight="1">
      <c r="A34" s="19" t="s">
        <v>1236</v>
      </c>
      <c r="B34" s="21" t="s">
        <v>367</v>
      </c>
      <c r="C34" s="21" t="s">
        <v>1217</v>
      </c>
      <c r="D34" s="19" t="s">
        <v>31</v>
      </c>
      <c r="E34" s="21" t="s">
        <v>1242</v>
      </c>
      <c r="F34" s="21" t="s">
        <v>1244</v>
      </c>
      <c r="G34" s="21" t="s">
        <v>1247</v>
      </c>
      <c r="H34" s="21" t="s">
        <v>1250</v>
      </c>
      <c r="I34" s="19" t="s">
        <v>28</v>
      </c>
      <c r="J34" s="19" t="s">
        <v>75</v>
      </c>
      <c r="K34" s="19">
        <v>20.0</v>
      </c>
      <c r="L34" s="15" t="s">
        <v>47</v>
      </c>
      <c r="M34" s="17"/>
      <c r="N34" s="17"/>
    </row>
    <row r="35" ht="14.25" customHeight="1">
      <c r="A35" s="12" t="s">
        <v>1254</v>
      </c>
      <c r="B35" s="11" t="s">
        <v>367</v>
      </c>
      <c r="C35" s="11" t="s">
        <v>1217</v>
      </c>
      <c r="D35" s="12" t="s">
        <v>31</v>
      </c>
      <c r="E35" s="11" t="s">
        <v>1267</v>
      </c>
      <c r="F35" s="11" t="s">
        <v>1273</v>
      </c>
      <c r="G35" s="11" t="s">
        <v>1276</v>
      </c>
      <c r="H35" s="11" t="s">
        <v>1279</v>
      </c>
      <c r="I35" s="12" t="s">
        <v>28</v>
      </c>
      <c r="J35" s="12" t="s">
        <v>75</v>
      </c>
      <c r="K35" s="12">
        <v>15.0</v>
      </c>
      <c r="L35" s="15" t="s">
        <v>47</v>
      </c>
      <c r="M35" s="17"/>
      <c r="N35" s="17"/>
    </row>
    <row r="36" ht="14.25" customHeight="1">
      <c r="A36" s="19" t="s">
        <v>1308</v>
      </c>
      <c r="B36" s="21" t="s">
        <v>367</v>
      </c>
      <c r="C36" s="21" t="s">
        <v>1217</v>
      </c>
      <c r="D36" s="19" t="s">
        <v>31</v>
      </c>
      <c r="E36" s="21" t="s">
        <v>1315</v>
      </c>
      <c r="F36" s="21" t="s">
        <v>1319</v>
      </c>
      <c r="G36" s="21" t="s">
        <v>1322</v>
      </c>
      <c r="H36" s="21" t="s">
        <v>1326</v>
      </c>
      <c r="I36" s="19" t="s">
        <v>29</v>
      </c>
      <c r="J36" s="19" t="s">
        <v>75</v>
      </c>
      <c r="K36" s="19">
        <v>10.0</v>
      </c>
      <c r="L36" s="15" t="s">
        <v>47</v>
      </c>
      <c r="M36" s="17"/>
      <c r="N36" s="17"/>
    </row>
    <row r="37" ht="14.25" customHeight="1">
      <c r="A37" s="12" t="s">
        <v>1333</v>
      </c>
      <c r="B37" s="11" t="s">
        <v>367</v>
      </c>
      <c r="C37" s="11" t="s">
        <v>1217</v>
      </c>
      <c r="D37" s="12" t="s">
        <v>31</v>
      </c>
      <c r="E37" s="11" t="s">
        <v>1077</v>
      </c>
      <c r="F37" s="11" t="s">
        <v>1340</v>
      </c>
      <c r="G37" s="11" t="s">
        <v>1342</v>
      </c>
      <c r="H37" s="11" t="s">
        <v>1344</v>
      </c>
      <c r="I37" s="12" t="s">
        <v>29</v>
      </c>
      <c r="J37" s="12" t="s">
        <v>75</v>
      </c>
      <c r="K37" s="12">
        <v>20.0</v>
      </c>
      <c r="L37" s="15" t="s">
        <v>47</v>
      </c>
      <c r="M37" s="17"/>
      <c r="N37" s="17"/>
    </row>
    <row r="38" ht="14.25" customHeight="1">
      <c r="A38" s="19" t="s">
        <v>1348</v>
      </c>
      <c r="B38" s="21" t="s">
        <v>367</v>
      </c>
      <c r="C38" s="21" t="s">
        <v>1217</v>
      </c>
      <c r="D38" s="19" t="s">
        <v>31</v>
      </c>
      <c r="E38" s="21" t="s">
        <v>1315</v>
      </c>
      <c r="F38" s="21" t="s">
        <v>1357</v>
      </c>
      <c r="G38" s="21" t="s">
        <v>1359</v>
      </c>
      <c r="H38" s="21" t="s">
        <v>1361</v>
      </c>
      <c r="I38" s="19" t="s">
        <v>28</v>
      </c>
      <c r="J38" s="19" t="s">
        <v>102</v>
      </c>
      <c r="K38" s="19">
        <v>25.0</v>
      </c>
      <c r="L38" s="15" t="s">
        <v>47</v>
      </c>
      <c r="M38" s="17"/>
      <c r="N38" s="17"/>
    </row>
    <row r="39" ht="14.25" customHeight="1">
      <c r="A39" s="12" t="s">
        <v>1368</v>
      </c>
      <c r="B39" s="11" t="s">
        <v>367</v>
      </c>
      <c r="C39" s="11" t="s">
        <v>1217</v>
      </c>
      <c r="D39" s="12" t="s">
        <v>31</v>
      </c>
      <c r="E39" s="11" t="s">
        <v>1077</v>
      </c>
      <c r="F39" s="11" t="s">
        <v>1375</v>
      </c>
      <c r="G39" s="11" t="s">
        <v>1378</v>
      </c>
      <c r="H39" s="11" t="s">
        <v>1380</v>
      </c>
      <c r="I39" s="12" t="s">
        <v>28</v>
      </c>
      <c r="J39" s="12" t="s">
        <v>124</v>
      </c>
      <c r="K39" s="12">
        <v>45.0</v>
      </c>
      <c r="L39" s="15" t="s">
        <v>47</v>
      </c>
      <c r="M39" s="17"/>
      <c r="N39" s="17"/>
    </row>
    <row r="40" ht="14.25" customHeight="1">
      <c r="A40" s="19" t="s">
        <v>1382</v>
      </c>
      <c r="B40" s="21" t="s">
        <v>367</v>
      </c>
      <c r="C40" s="21" t="s">
        <v>1383</v>
      </c>
      <c r="D40" s="19" t="s">
        <v>31</v>
      </c>
      <c r="E40" s="21" t="s">
        <v>1077</v>
      </c>
      <c r="F40" s="21" t="s">
        <v>1387</v>
      </c>
      <c r="G40" s="21" t="s">
        <v>1388</v>
      </c>
      <c r="H40" s="21" t="s">
        <v>1390</v>
      </c>
      <c r="I40" s="19" t="s">
        <v>28</v>
      </c>
      <c r="J40" s="19" t="s">
        <v>75</v>
      </c>
      <c r="K40" s="19">
        <v>15.0</v>
      </c>
      <c r="L40" s="15" t="s">
        <v>47</v>
      </c>
      <c r="M40" s="17"/>
      <c r="N40" s="17"/>
    </row>
    <row r="41" ht="14.25" customHeight="1">
      <c r="A41" s="12" t="s">
        <v>1395</v>
      </c>
      <c r="B41" s="11" t="s">
        <v>367</v>
      </c>
      <c r="C41" s="11" t="s">
        <v>1383</v>
      </c>
      <c r="D41" s="12" t="s">
        <v>31</v>
      </c>
      <c r="E41" s="11" t="s">
        <v>1399</v>
      </c>
      <c r="F41" s="11" t="s">
        <v>1401</v>
      </c>
      <c r="G41" s="11" t="s">
        <v>1402</v>
      </c>
      <c r="H41" s="11" t="s">
        <v>1404</v>
      </c>
      <c r="I41" s="12" t="s">
        <v>28</v>
      </c>
      <c r="J41" s="12" t="s">
        <v>103</v>
      </c>
      <c r="K41" s="12">
        <v>15.0</v>
      </c>
      <c r="L41" s="15" t="s">
        <v>47</v>
      </c>
      <c r="M41" s="17"/>
      <c r="N41" s="17"/>
    </row>
    <row r="42" ht="14.25" customHeight="1">
      <c r="A42" s="19" t="s">
        <v>1411</v>
      </c>
      <c r="B42" s="21" t="s">
        <v>367</v>
      </c>
      <c r="C42" s="21" t="s">
        <v>1383</v>
      </c>
      <c r="D42" s="19" t="s">
        <v>31</v>
      </c>
      <c r="E42" s="21" t="s">
        <v>1416</v>
      </c>
      <c r="F42" s="21" t="s">
        <v>1418</v>
      </c>
      <c r="G42" s="21" t="s">
        <v>1419</v>
      </c>
      <c r="H42" s="21" t="s">
        <v>1422</v>
      </c>
      <c r="I42" s="19" t="s">
        <v>29</v>
      </c>
      <c r="J42" s="19" t="s">
        <v>75</v>
      </c>
      <c r="K42" s="19">
        <v>10.0</v>
      </c>
      <c r="L42" s="15" t="s">
        <v>47</v>
      </c>
      <c r="M42" s="17"/>
      <c r="N42" s="17"/>
    </row>
    <row r="43" ht="14.25" customHeight="1">
      <c r="A43" s="12" t="s">
        <v>1427</v>
      </c>
      <c r="B43" s="11" t="s">
        <v>367</v>
      </c>
      <c r="C43" s="11" t="s">
        <v>1383</v>
      </c>
      <c r="D43" s="12" t="s">
        <v>31</v>
      </c>
      <c r="E43" s="11" t="s">
        <v>1429</v>
      </c>
      <c r="F43" s="11" t="s">
        <v>1431</v>
      </c>
      <c r="G43" s="11" t="s">
        <v>1433</v>
      </c>
      <c r="H43" s="11" t="s">
        <v>1436</v>
      </c>
      <c r="I43" s="12" t="s">
        <v>28</v>
      </c>
      <c r="J43" s="12" t="s">
        <v>352</v>
      </c>
      <c r="K43" s="12">
        <v>30.0</v>
      </c>
      <c r="L43" s="15" t="s">
        <v>47</v>
      </c>
      <c r="M43" s="17"/>
      <c r="N43" s="17"/>
    </row>
    <row r="44" ht="14.25" customHeight="1">
      <c r="A44" s="19" t="s">
        <v>1442</v>
      </c>
      <c r="B44" s="21" t="s">
        <v>367</v>
      </c>
      <c r="C44" s="21" t="s">
        <v>1445</v>
      </c>
      <c r="D44" s="19" t="s">
        <v>31</v>
      </c>
      <c r="E44" s="21" t="s">
        <v>1077</v>
      </c>
      <c r="F44" s="21" t="s">
        <v>1451</v>
      </c>
      <c r="G44" s="21" t="s">
        <v>1455</v>
      </c>
      <c r="H44" s="21" t="s">
        <v>1457</v>
      </c>
      <c r="I44" s="19" t="s">
        <v>28</v>
      </c>
      <c r="J44" s="19" t="s">
        <v>75</v>
      </c>
      <c r="K44" s="19">
        <v>18.0</v>
      </c>
      <c r="L44" s="15" t="s">
        <v>47</v>
      </c>
      <c r="M44" s="17"/>
      <c r="N44" s="17"/>
    </row>
    <row r="45" ht="14.25" customHeight="1">
      <c r="A45" s="12" t="s">
        <v>1464</v>
      </c>
      <c r="B45" s="11" t="s">
        <v>367</v>
      </c>
      <c r="C45" s="11" t="s">
        <v>1445</v>
      </c>
      <c r="D45" s="12" t="s">
        <v>31</v>
      </c>
      <c r="E45" s="11" t="s">
        <v>1478</v>
      </c>
      <c r="F45" s="11" t="s">
        <v>1481</v>
      </c>
      <c r="G45" s="11" t="s">
        <v>1491</v>
      </c>
      <c r="H45" s="11" t="s">
        <v>1496</v>
      </c>
      <c r="I45" s="12" t="s">
        <v>28</v>
      </c>
      <c r="J45" s="12" t="s">
        <v>75</v>
      </c>
      <c r="K45" s="12">
        <v>15.0</v>
      </c>
      <c r="L45" s="15" t="s">
        <v>47</v>
      </c>
      <c r="M45" s="17"/>
      <c r="N45" s="17"/>
    </row>
    <row r="46" ht="14.25" customHeight="1">
      <c r="A46" s="19" t="s">
        <v>1526</v>
      </c>
      <c r="B46" s="21" t="s">
        <v>367</v>
      </c>
      <c r="C46" s="21" t="s">
        <v>1445</v>
      </c>
      <c r="D46" s="19" t="s">
        <v>31</v>
      </c>
      <c r="E46" s="21" t="s">
        <v>1550</v>
      </c>
      <c r="F46" s="21" t="s">
        <v>1554</v>
      </c>
      <c r="G46" s="21" t="s">
        <v>1555</v>
      </c>
      <c r="H46" s="21" t="s">
        <v>1558</v>
      </c>
      <c r="I46" s="19" t="s">
        <v>29</v>
      </c>
      <c r="J46" s="19" t="s">
        <v>352</v>
      </c>
      <c r="K46" s="19">
        <v>25.0</v>
      </c>
      <c r="L46" s="15" t="s">
        <v>47</v>
      </c>
      <c r="M46" s="17"/>
      <c r="N46" s="17"/>
    </row>
    <row r="47" ht="14.25" customHeight="1">
      <c r="A47" s="12" t="s">
        <v>1577</v>
      </c>
      <c r="B47" s="11" t="s">
        <v>367</v>
      </c>
      <c r="C47" s="11" t="s">
        <v>1445</v>
      </c>
      <c r="D47" s="12" t="s">
        <v>31</v>
      </c>
      <c r="E47" s="11" t="s">
        <v>1587</v>
      </c>
      <c r="F47" s="11" t="s">
        <v>1588</v>
      </c>
      <c r="G47" s="11" t="s">
        <v>1589</v>
      </c>
      <c r="H47" s="11" t="s">
        <v>1590</v>
      </c>
      <c r="I47" s="12" t="s">
        <v>28</v>
      </c>
      <c r="J47" s="12" t="s">
        <v>352</v>
      </c>
      <c r="K47" s="12">
        <v>30.0</v>
      </c>
      <c r="L47" s="15" t="s">
        <v>47</v>
      </c>
      <c r="M47" s="17"/>
      <c r="N47" s="17"/>
    </row>
    <row r="48" ht="14.25" customHeight="1">
      <c r="A48" s="19" t="s">
        <v>1597</v>
      </c>
      <c r="B48" s="21" t="s">
        <v>367</v>
      </c>
      <c r="C48" s="21" t="s">
        <v>1600</v>
      </c>
      <c r="D48" s="19" t="s">
        <v>31</v>
      </c>
      <c r="E48" s="21" t="s">
        <v>1077</v>
      </c>
      <c r="F48" s="21" t="s">
        <v>1603</v>
      </c>
      <c r="G48" s="21" t="s">
        <v>1604</v>
      </c>
      <c r="H48" s="21" t="s">
        <v>1605</v>
      </c>
      <c r="I48" s="19" t="s">
        <v>28</v>
      </c>
      <c r="J48" s="19" t="s">
        <v>75</v>
      </c>
      <c r="K48" s="19">
        <v>18.0</v>
      </c>
      <c r="L48" s="15" t="s">
        <v>47</v>
      </c>
      <c r="M48" s="17"/>
      <c r="N48" s="17"/>
    </row>
    <row r="49" ht="14.25" customHeight="1">
      <c r="A49" s="12" t="s">
        <v>1613</v>
      </c>
      <c r="B49" s="11" t="s">
        <v>367</v>
      </c>
      <c r="C49" s="11" t="s">
        <v>1600</v>
      </c>
      <c r="D49" s="12" t="s">
        <v>31</v>
      </c>
      <c r="E49" s="11" t="s">
        <v>1616</v>
      </c>
      <c r="F49" s="11" t="s">
        <v>1617</v>
      </c>
      <c r="G49" s="11" t="s">
        <v>1618</v>
      </c>
      <c r="H49" s="11" t="s">
        <v>1620</v>
      </c>
      <c r="I49" s="12" t="s">
        <v>29</v>
      </c>
      <c r="J49" s="12" t="s">
        <v>352</v>
      </c>
      <c r="K49" s="12">
        <v>25.0</v>
      </c>
      <c r="L49" s="15" t="s">
        <v>47</v>
      </c>
      <c r="M49" s="17"/>
      <c r="N49" s="17"/>
    </row>
    <row r="50" ht="14.25" customHeight="1">
      <c r="A50" s="19" t="s">
        <v>1626</v>
      </c>
      <c r="B50" s="21" t="s">
        <v>367</v>
      </c>
      <c r="C50" s="21" t="s">
        <v>1630</v>
      </c>
      <c r="D50" s="19" t="s">
        <v>31</v>
      </c>
      <c r="E50" s="21" t="s">
        <v>1632</v>
      </c>
      <c r="F50" s="21" t="s">
        <v>1633</v>
      </c>
      <c r="G50" s="21" t="s">
        <v>1634</v>
      </c>
      <c r="H50" s="21" t="s">
        <v>1636</v>
      </c>
      <c r="I50" s="19" t="s">
        <v>28</v>
      </c>
      <c r="J50" s="19" t="s">
        <v>75</v>
      </c>
      <c r="K50" s="19">
        <v>15.0</v>
      </c>
      <c r="L50" s="15" t="s">
        <v>47</v>
      </c>
      <c r="M50" s="17"/>
      <c r="N50" s="17"/>
    </row>
    <row r="51" ht="14.25" customHeight="1">
      <c r="A51" s="12" t="s">
        <v>1640</v>
      </c>
      <c r="B51" s="11" t="s">
        <v>367</v>
      </c>
      <c r="C51" s="11" t="s">
        <v>1641</v>
      </c>
      <c r="D51" s="12" t="s">
        <v>31</v>
      </c>
      <c r="E51" s="11" t="s">
        <v>1642</v>
      </c>
      <c r="F51" s="11" t="s">
        <v>1644</v>
      </c>
      <c r="G51" s="11" t="s">
        <v>1645</v>
      </c>
      <c r="H51" s="11" t="s">
        <v>1647</v>
      </c>
      <c r="I51" s="12" t="s">
        <v>28</v>
      </c>
      <c r="J51" s="12" t="s">
        <v>75</v>
      </c>
      <c r="K51" s="12">
        <v>20.0</v>
      </c>
      <c r="L51" s="15" t="s">
        <v>47</v>
      </c>
      <c r="M51" s="17"/>
      <c r="N51" s="17"/>
    </row>
    <row r="52" ht="14.25" customHeight="1">
      <c r="A52" s="19" t="s">
        <v>1652</v>
      </c>
      <c r="B52" s="21" t="s">
        <v>367</v>
      </c>
      <c r="C52" s="21" t="s">
        <v>1653</v>
      </c>
      <c r="D52" s="19" t="s">
        <v>31</v>
      </c>
      <c r="E52" s="21" t="s">
        <v>1654</v>
      </c>
      <c r="F52" s="21" t="s">
        <v>1655</v>
      </c>
      <c r="G52" s="21" t="s">
        <v>1656</v>
      </c>
      <c r="H52" s="21" t="s">
        <v>1658</v>
      </c>
      <c r="I52" s="19" t="s">
        <v>28</v>
      </c>
      <c r="J52" s="19" t="s">
        <v>75</v>
      </c>
      <c r="K52" s="19">
        <v>18.0</v>
      </c>
      <c r="L52" s="15" t="s">
        <v>47</v>
      </c>
      <c r="M52" s="17"/>
      <c r="N52" s="17"/>
    </row>
    <row r="53" ht="14.25" customHeight="1">
      <c r="A53" s="12" t="s">
        <v>1661</v>
      </c>
      <c r="B53" s="11" t="s">
        <v>367</v>
      </c>
      <c r="C53" s="11" t="s">
        <v>1653</v>
      </c>
      <c r="D53" s="12" t="s">
        <v>31</v>
      </c>
      <c r="E53" s="11" t="s">
        <v>1663</v>
      </c>
      <c r="F53" s="11" t="s">
        <v>1664</v>
      </c>
      <c r="G53" s="11" t="s">
        <v>1665</v>
      </c>
      <c r="H53" s="11" t="s">
        <v>1667</v>
      </c>
      <c r="I53" s="12" t="s">
        <v>28</v>
      </c>
      <c r="J53" s="12" t="s">
        <v>75</v>
      </c>
      <c r="K53" s="12">
        <v>30.0</v>
      </c>
      <c r="L53" s="15" t="s">
        <v>47</v>
      </c>
      <c r="M53" s="17"/>
      <c r="N53" s="17"/>
    </row>
    <row r="54" ht="14.25" customHeight="1">
      <c r="A54" s="19" t="s">
        <v>1672</v>
      </c>
      <c r="B54" s="21" t="s">
        <v>367</v>
      </c>
      <c r="C54" s="21" t="s">
        <v>1653</v>
      </c>
      <c r="D54" s="19" t="s">
        <v>31</v>
      </c>
      <c r="E54" s="21" t="s">
        <v>1674</v>
      </c>
      <c r="F54" s="21" t="s">
        <v>1675</v>
      </c>
      <c r="G54" s="21" t="s">
        <v>1676</v>
      </c>
      <c r="H54" s="21" t="s">
        <v>1678</v>
      </c>
      <c r="I54" s="19" t="s">
        <v>28</v>
      </c>
      <c r="J54" s="19" t="s">
        <v>103</v>
      </c>
      <c r="K54" s="19">
        <v>30.0</v>
      </c>
      <c r="L54" s="15" t="s">
        <v>47</v>
      </c>
      <c r="M54" s="17"/>
      <c r="N54" s="17"/>
    </row>
    <row r="55" ht="14.25" customHeight="1">
      <c r="A55" s="12" t="s">
        <v>1682</v>
      </c>
      <c r="B55" s="11" t="s">
        <v>367</v>
      </c>
      <c r="C55" s="11" t="s">
        <v>1684</v>
      </c>
      <c r="D55" s="12" t="s">
        <v>31</v>
      </c>
      <c r="E55" s="11" t="s">
        <v>1685</v>
      </c>
      <c r="F55" s="11" t="s">
        <v>1686</v>
      </c>
      <c r="G55" s="11" t="s">
        <v>1688</v>
      </c>
      <c r="H55" s="11" t="s">
        <v>1690</v>
      </c>
      <c r="I55" s="12" t="s">
        <v>29</v>
      </c>
      <c r="J55" s="12" t="s">
        <v>75</v>
      </c>
      <c r="K55" s="12">
        <v>20.0</v>
      </c>
      <c r="L55" s="15" t="s">
        <v>47</v>
      </c>
      <c r="M55" s="17"/>
      <c r="N55" s="17"/>
    </row>
    <row r="56" ht="14.25" customHeight="1">
      <c r="A56" s="19" t="s">
        <v>1693</v>
      </c>
      <c r="B56" s="21" t="s">
        <v>367</v>
      </c>
      <c r="C56" s="21" t="s">
        <v>1684</v>
      </c>
      <c r="D56" s="19" t="s">
        <v>31</v>
      </c>
      <c r="E56" s="21" t="s">
        <v>1694</v>
      </c>
      <c r="F56" s="21" t="s">
        <v>1696</v>
      </c>
      <c r="G56" s="21" t="s">
        <v>1697</v>
      </c>
      <c r="H56" s="21" t="s">
        <v>1698</v>
      </c>
      <c r="I56" s="19" t="s">
        <v>28</v>
      </c>
      <c r="J56" s="19" t="s">
        <v>103</v>
      </c>
      <c r="K56" s="19">
        <v>20.0</v>
      </c>
      <c r="L56" s="15" t="s">
        <v>47</v>
      </c>
      <c r="M56" s="17"/>
      <c r="N56" s="17"/>
    </row>
    <row r="57" ht="14.25" customHeight="1">
      <c r="A57" s="12" t="s">
        <v>1702</v>
      </c>
      <c r="B57" s="11" t="s">
        <v>367</v>
      </c>
      <c r="C57" s="11" t="s">
        <v>1703</v>
      </c>
      <c r="D57" s="12" t="s">
        <v>31</v>
      </c>
      <c r="E57" s="11" t="s">
        <v>1054</v>
      </c>
      <c r="F57" s="11" t="s">
        <v>1704</v>
      </c>
      <c r="G57" s="11" t="s">
        <v>1705</v>
      </c>
      <c r="H57" s="11" t="s">
        <v>1707</v>
      </c>
      <c r="I57" s="12" t="s">
        <v>29</v>
      </c>
      <c r="J57" s="12" t="s">
        <v>75</v>
      </c>
      <c r="K57" s="12">
        <v>25.0</v>
      </c>
      <c r="L57" s="15" t="s">
        <v>47</v>
      </c>
      <c r="M57" s="17"/>
      <c r="N57" s="17"/>
    </row>
    <row r="58" ht="14.25" customHeight="1">
      <c r="A58" s="19" t="s">
        <v>1712</v>
      </c>
      <c r="B58" s="21" t="s">
        <v>367</v>
      </c>
      <c r="C58" s="21" t="s">
        <v>1444</v>
      </c>
      <c r="D58" s="19" t="s">
        <v>31</v>
      </c>
      <c r="E58" s="21" t="s">
        <v>1714</v>
      </c>
      <c r="F58" s="21" t="s">
        <v>1715</v>
      </c>
      <c r="G58" s="21" t="s">
        <v>1716</v>
      </c>
      <c r="H58" s="21" t="s">
        <v>1717</v>
      </c>
      <c r="I58" s="19" t="s">
        <v>28</v>
      </c>
      <c r="J58" s="19" t="s">
        <v>75</v>
      </c>
      <c r="K58" s="19">
        <v>18.0</v>
      </c>
      <c r="L58" s="15" t="s">
        <v>47</v>
      </c>
      <c r="M58" s="17"/>
      <c r="N58" s="17"/>
    </row>
    <row r="59" ht="14.25" customHeight="1">
      <c r="A59" s="12" t="s">
        <v>1721</v>
      </c>
      <c r="B59" s="11" t="s">
        <v>367</v>
      </c>
      <c r="C59" s="11" t="s">
        <v>1444</v>
      </c>
      <c r="D59" s="12" t="s">
        <v>31</v>
      </c>
      <c r="E59" s="11" t="s">
        <v>1724</v>
      </c>
      <c r="F59" s="11" t="s">
        <v>1725</v>
      </c>
      <c r="G59" s="11" t="s">
        <v>1726</v>
      </c>
      <c r="H59" s="11" t="s">
        <v>1727</v>
      </c>
      <c r="I59" s="12" t="s">
        <v>28</v>
      </c>
      <c r="J59" s="12" t="s">
        <v>114</v>
      </c>
      <c r="K59" s="12">
        <v>25.0</v>
      </c>
      <c r="L59" s="15" t="s">
        <v>47</v>
      </c>
      <c r="M59" s="17"/>
      <c r="N59" s="17"/>
    </row>
    <row r="60" ht="14.25" customHeight="1">
      <c r="A60" s="19" t="s">
        <v>1730</v>
      </c>
      <c r="B60" s="21" t="s">
        <v>367</v>
      </c>
      <c r="C60" s="21" t="s">
        <v>1444</v>
      </c>
      <c r="D60" s="19" t="s">
        <v>31</v>
      </c>
      <c r="E60" s="21" t="s">
        <v>1734</v>
      </c>
      <c r="F60" s="21" t="s">
        <v>1736</v>
      </c>
      <c r="G60" s="21" t="s">
        <v>1737</v>
      </c>
      <c r="H60" s="21" t="s">
        <v>1738</v>
      </c>
      <c r="I60" s="19" t="s">
        <v>28</v>
      </c>
      <c r="J60" s="19" t="s">
        <v>75</v>
      </c>
      <c r="K60" s="19">
        <v>12.0</v>
      </c>
      <c r="L60" s="15" t="s">
        <v>47</v>
      </c>
      <c r="M60" s="17"/>
      <c r="N60" s="17"/>
    </row>
    <row r="61" ht="14.25" customHeight="1">
      <c r="A61" s="12" t="s">
        <v>1740</v>
      </c>
      <c r="B61" s="11" t="s">
        <v>367</v>
      </c>
      <c r="C61" s="11" t="s">
        <v>1444</v>
      </c>
      <c r="D61" s="12" t="s">
        <v>31</v>
      </c>
      <c r="E61" s="11" t="s">
        <v>1741</v>
      </c>
      <c r="F61" s="11" t="s">
        <v>1744</v>
      </c>
      <c r="G61" s="11" t="s">
        <v>1746</v>
      </c>
      <c r="H61" s="11" t="s">
        <v>1747</v>
      </c>
      <c r="I61" s="12" t="s">
        <v>28</v>
      </c>
      <c r="J61" s="12" t="s">
        <v>75</v>
      </c>
      <c r="K61" s="12">
        <v>20.0</v>
      </c>
      <c r="L61" s="15" t="s">
        <v>47</v>
      </c>
      <c r="M61" s="17"/>
      <c r="N61" s="17"/>
    </row>
    <row r="62" ht="14.25" customHeight="1">
      <c r="A62" s="19" t="s">
        <v>1749</v>
      </c>
      <c r="B62" s="21" t="s">
        <v>367</v>
      </c>
      <c r="C62" s="21" t="s">
        <v>1444</v>
      </c>
      <c r="D62" s="19" t="s">
        <v>31</v>
      </c>
      <c r="E62" s="21" t="s">
        <v>1752</v>
      </c>
      <c r="F62" s="21" t="s">
        <v>1754</v>
      </c>
      <c r="G62" s="21" t="s">
        <v>1755</v>
      </c>
      <c r="H62" s="21" t="s">
        <v>1756</v>
      </c>
      <c r="I62" s="19" t="s">
        <v>29</v>
      </c>
      <c r="J62" s="19" t="s">
        <v>75</v>
      </c>
      <c r="K62" s="19">
        <v>20.0</v>
      </c>
      <c r="L62" s="15" t="s">
        <v>47</v>
      </c>
      <c r="M62" s="17"/>
      <c r="N62" s="17"/>
    </row>
    <row r="63" ht="14.25" customHeight="1">
      <c r="A63" s="12" t="s">
        <v>1758</v>
      </c>
      <c r="B63" s="11" t="s">
        <v>367</v>
      </c>
      <c r="C63" s="11" t="s">
        <v>1444</v>
      </c>
      <c r="D63" s="12" t="s">
        <v>31</v>
      </c>
      <c r="E63" s="11" t="s">
        <v>1762</v>
      </c>
      <c r="F63" s="11" t="s">
        <v>1763</v>
      </c>
      <c r="G63" s="11" t="s">
        <v>1764</v>
      </c>
      <c r="H63" s="11" t="s">
        <v>1765</v>
      </c>
      <c r="I63" s="12" t="s">
        <v>28</v>
      </c>
      <c r="J63" s="12" t="s">
        <v>103</v>
      </c>
      <c r="K63" s="12">
        <v>25.0</v>
      </c>
      <c r="L63" s="15" t="s">
        <v>47</v>
      </c>
      <c r="M63" s="17"/>
      <c r="N63" s="17"/>
    </row>
    <row r="64" ht="14.25" customHeight="1">
      <c r="A64" s="19" t="s">
        <v>1772</v>
      </c>
      <c r="B64" s="21" t="s">
        <v>367</v>
      </c>
      <c r="C64" s="21" t="s">
        <v>1444</v>
      </c>
      <c r="D64" s="19" t="s">
        <v>31</v>
      </c>
      <c r="E64" s="21" t="s">
        <v>1773</v>
      </c>
      <c r="F64" s="21" t="s">
        <v>1774</v>
      </c>
      <c r="G64" s="21" t="s">
        <v>1775</v>
      </c>
      <c r="H64" s="21" t="s">
        <v>1776</v>
      </c>
      <c r="I64" s="19" t="s">
        <v>28</v>
      </c>
      <c r="J64" s="19" t="s">
        <v>352</v>
      </c>
      <c r="K64" s="19">
        <v>30.0</v>
      </c>
      <c r="L64" s="15" t="s">
        <v>47</v>
      </c>
      <c r="M64" s="17"/>
      <c r="N64" s="17"/>
    </row>
    <row r="65" ht="14.25" customHeight="1">
      <c r="A65" s="12" t="s">
        <v>1777</v>
      </c>
      <c r="B65" s="11" t="s">
        <v>367</v>
      </c>
      <c r="C65" s="11" t="s">
        <v>1444</v>
      </c>
      <c r="D65" s="12" t="s">
        <v>31</v>
      </c>
      <c r="E65" s="11" t="s">
        <v>1778</v>
      </c>
      <c r="F65" s="11" t="s">
        <v>1779</v>
      </c>
      <c r="G65" s="11" t="s">
        <v>1780</v>
      </c>
      <c r="H65" s="11" t="s">
        <v>1781</v>
      </c>
      <c r="I65" s="12" t="s">
        <v>28</v>
      </c>
      <c r="J65" s="12" t="s">
        <v>352</v>
      </c>
      <c r="K65" s="12">
        <v>40.0</v>
      </c>
      <c r="L65" s="15" t="s">
        <v>47</v>
      </c>
      <c r="M65" s="17"/>
      <c r="N65" s="17"/>
    </row>
    <row r="66" ht="14.25" customHeight="1">
      <c r="A66" s="19" t="s">
        <v>1782</v>
      </c>
      <c r="B66" s="21" t="s">
        <v>367</v>
      </c>
      <c r="C66" s="21" t="s">
        <v>1444</v>
      </c>
      <c r="D66" s="19" t="s">
        <v>31</v>
      </c>
      <c r="E66" s="21" t="s">
        <v>1783</v>
      </c>
      <c r="F66" s="21" t="s">
        <v>1784</v>
      </c>
      <c r="G66" s="21" t="s">
        <v>1785</v>
      </c>
      <c r="H66" s="21" t="s">
        <v>1786</v>
      </c>
      <c r="I66" s="19" t="s">
        <v>28</v>
      </c>
      <c r="J66" s="19" t="s">
        <v>1465</v>
      </c>
      <c r="K66" s="19">
        <v>20.0</v>
      </c>
      <c r="L66" s="15" t="s">
        <v>47</v>
      </c>
      <c r="M66" s="17"/>
      <c r="N66" s="17"/>
    </row>
    <row r="67" ht="14.25" customHeight="1">
      <c r="A67" s="12" t="s">
        <v>1787</v>
      </c>
      <c r="B67" s="11" t="s">
        <v>367</v>
      </c>
      <c r="C67" s="11" t="s">
        <v>1444</v>
      </c>
      <c r="D67" s="12" t="s">
        <v>31</v>
      </c>
      <c r="E67" s="11" t="s">
        <v>1788</v>
      </c>
      <c r="F67" s="11" t="s">
        <v>1789</v>
      </c>
      <c r="G67" s="11" t="s">
        <v>1790</v>
      </c>
      <c r="H67" s="11" t="s">
        <v>1791</v>
      </c>
      <c r="I67" s="12" t="s">
        <v>28</v>
      </c>
      <c r="J67" s="12" t="s">
        <v>1465</v>
      </c>
      <c r="K67" s="12">
        <v>25.0</v>
      </c>
      <c r="L67" s="15" t="s">
        <v>47</v>
      </c>
      <c r="M67" s="17"/>
      <c r="N67" s="17"/>
    </row>
    <row r="68" ht="14.25" customHeight="1">
      <c r="A68" s="19" t="s">
        <v>1792</v>
      </c>
      <c r="B68" s="21" t="s">
        <v>367</v>
      </c>
      <c r="C68" s="21" t="s">
        <v>1048</v>
      </c>
      <c r="D68" s="19" t="s">
        <v>183</v>
      </c>
      <c r="E68" s="21" t="s">
        <v>1793</v>
      </c>
      <c r="F68" s="21" t="s">
        <v>1794</v>
      </c>
      <c r="G68" s="21" t="s">
        <v>1795</v>
      </c>
      <c r="H68" s="21" t="s">
        <v>1796</v>
      </c>
      <c r="I68" s="19" t="s">
        <v>28</v>
      </c>
      <c r="J68" s="19" t="s">
        <v>352</v>
      </c>
      <c r="K68" s="19">
        <v>30.0</v>
      </c>
      <c r="L68" s="15" t="s">
        <v>47</v>
      </c>
      <c r="M68" s="17"/>
      <c r="N68" s="17"/>
    </row>
    <row r="69" ht="14.25" customHeight="1">
      <c r="A69" s="12" t="s">
        <v>1797</v>
      </c>
      <c r="B69" s="11" t="s">
        <v>367</v>
      </c>
      <c r="C69" s="11" t="s">
        <v>1059</v>
      </c>
      <c r="D69" s="12" t="s">
        <v>33</v>
      </c>
      <c r="E69" s="11" t="s">
        <v>1798</v>
      </c>
      <c r="F69" s="11" t="s">
        <v>1799</v>
      </c>
      <c r="G69" s="11" t="s">
        <v>1800</v>
      </c>
      <c r="H69" s="11" t="s">
        <v>1801</v>
      </c>
      <c r="I69" s="12" t="s">
        <v>28</v>
      </c>
      <c r="J69" s="12" t="s">
        <v>75</v>
      </c>
      <c r="K69" s="12">
        <v>25.0</v>
      </c>
      <c r="L69" s="15" t="s">
        <v>47</v>
      </c>
      <c r="M69" s="17"/>
      <c r="N69" s="17"/>
    </row>
    <row r="70" ht="14.25" customHeight="1">
      <c r="A70" s="19" t="s">
        <v>1802</v>
      </c>
      <c r="B70" s="21" t="s">
        <v>367</v>
      </c>
      <c r="C70" s="21" t="s">
        <v>1059</v>
      </c>
      <c r="D70" s="19" t="s">
        <v>33</v>
      </c>
      <c r="E70" s="21" t="s">
        <v>1803</v>
      </c>
      <c r="F70" s="21" t="s">
        <v>1804</v>
      </c>
      <c r="G70" s="21" t="s">
        <v>1805</v>
      </c>
      <c r="H70" s="21" t="s">
        <v>1806</v>
      </c>
      <c r="I70" s="19" t="s">
        <v>28</v>
      </c>
      <c r="J70" s="19" t="s">
        <v>75</v>
      </c>
      <c r="K70" s="19">
        <v>20.0</v>
      </c>
      <c r="L70" s="15" t="s">
        <v>47</v>
      </c>
      <c r="M70" s="17"/>
      <c r="N70" s="17"/>
    </row>
    <row r="71" ht="14.25" customHeight="1">
      <c r="A71" s="12" t="s">
        <v>1807</v>
      </c>
      <c r="B71" s="11" t="s">
        <v>367</v>
      </c>
      <c r="C71" s="11" t="s">
        <v>1059</v>
      </c>
      <c r="D71" s="12" t="s">
        <v>33</v>
      </c>
      <c r="E71" s="11" t="s">
        <v>1808</v>
      </c>
      <c r="F71" s="11" t="s">
        <v>1809</v>
      </c>
      <c r="G71" s="11" t="s">
        <v>1810</v>
      </c>
      <c r="H71" s="11" t="s">
        <v>1811</v>
      </c>
      <c r="I71" s="12" t="s">
        <v>28</v>
      </c>
      <c r="J71" s="12" t="s">
        <v>75</v>
      </c>
      <c r="K71" s="12">
        <v>25.0</v>
      </c>
      <c r="L71" s="15" t="s">
        <v>47</v>
      </c>
      <c r="M71" s="17"/>
      <c r="N71" s="17"/>
    </row>
    <row r="72" ht="14.25" customHeight="1">
      <c r="A72" s="19" t="s">
        <v>1812</v>
      </c>
      <c r="B72" s="21" t="s">
        <v>367</v>
      </c>
      <c r="C72" s="21" t="s">
        <v>1059</v>
      </c>
      <c r="D72" s="19" t="s">
        <v>33</v>
      </c>
      <c r="E72" s="21" t="s">
        <v>1808</v>
      </c>
      <c r="F72" s="21" t="s">
        <v>1813</v>
      </c>
      <c r="G72" s="21" t="s">
        <v>1814</v>
      </c>
      <c r="H72" s="21" t="s">
        <v>1815</v>
      </c>
      <c r="I72" s="19" t="s">
        <v>28</v>
      </c>
      <c r="J72" s="19" t="s">
        <v>75</v>
      </c>
      <c r="K72" s="19">
        <v>25.0</v>
      </c>
      <c r="L72" s="15" t="s">
        <v>47</v>
      </c>
      <c r="M72" s="17"/>
      <c r="N72" s="17"/>
    </row>
    <row r="73" ht="14.25" customHeight="1">
      <c r="A73" s="12" t="s">
        <v>1816</v>
      </c>
      <c r="B73" s="11" t="s">
        <v>367</v>
      </c>
      <c r="C73" s="11" t="s">
        <v>1059</v>
      </c>
      <c r="D73" s="12" t="s">
        <v>33</v>
      </c>
      <c r="E73" s="11" t="s">
        <v>1817</v>
      </c>
      <c r="F73" s="11" t="s">
        <v>1818</v>
      </c>
      <c r="G73" s="11" t="s">
        <v>1819</v>
      </c>
      <c r="H73" s="11" t="s">
        <v>1820</v>
      </c>
      <c r="I73" s="12" t="s">
        <v>28</v>
      </c>
      <c r="J73" s="12" t="s">
        <v>352</v>
      </c>
      <c r="K73" s="12">
        <v>40.0</v>
      </c>
      <c r="L73" s="15" t="s">
        <v>47</v>
      </c>
      <c r="M73" s="17"/>
      <c r="N73" s="17"/>
    </row>
    <row r="74" ht="14.25" customHeight="1">
      <c r="A74" s="19" t="s">
        <v>1821</v>
      </c>
      <c r="B74" s="21" t="s">
        <v>367</v>
      </c>
      <c r="C74" s="21" t="s">
        <v>1059</v>
      </c>
      <c r="D74" s="19" t="s">
        <v>33</v>
      </c>
      <c r="E74" s="21" t="s">
        <v>1808</v>
      </c>
      <c r="F74" s="21" t="s">
        <v>1822</v>
      </c>
      <c r="G74" s="21" t="s">
        <v>1823</v>
      </c>
      <c r="H74" s="21" t="s">
        <v>1824</v>
      </c>
      <c r="I74" s="19" t="s">
        <v>28</v>
      </c>
      <c r="J74" s="19" t="s">
        <v>103</v>
      </c>
      <c r="K74" s="19">
        <v>25.0</v>
      </c>
      <c r="L74" s="15" t="s">
        <v>47</v>
      </c>
      <c r="M74" s="17"/>
      <c r="N74" s="17"/>
    </row>
    <row r="75" ht="14.25" customHeight="1">
      <c r="A75" s="12" t="s">
        <v>1825</v>
      </c>
      <c r="B75" s="11" t="s">
        <v>367</v>
      </c>
      <c r="C75" s="11" t="s">
        <v>1059</v>
      </c>
      <c r="D75" s="12" t="s">
        <v>33</v>
      </c>
      <c r="E75" s="11" t="s">
        <v>1826</v>
      </c>
      <c r="F75" s="11" t="s">
        <v>1827</v>
      </c>
      <c r="G75" s="11" t="s">
        <v>1828</v>
      </c>
      <c r="H75" s="11" t="s">
        <v>1829</v>
      </c>
      <c r="I75" s="12" t="s">
        <v>28</v>
      </c>
      <c r="J75" s="12" t="s">
        <v>75</v>
      </c>
      <c r="K75" s="12">
        <v>40.0</v>
      </c>
      <c r="L75" s="15" t="s">
        <v>47</v>
      </c>
      <c r="M75" s="17"/>
      <c r="N75" s="17"/>
    </row>
    <row r="76" ht="14.25" customHeight="1">
      <c r="A76" s="19" t="s">
        <v>1830</v>
      </c>
      <c r="B76" s="21" t="s">
        <v>367</v>
      </c>
      <c r="C76" s="21" t="s">
        <v>1059</v>
      </c>
      <c r="D76" s="19" t="s">
        <v>33</v>
      </c>
      <c r="E76" s="21" t="s">
        <v>1831</v>
      </c>
      <c r="F76" s="21" t="s">
        <v>1832</v>
      </c>
      <c r="G76" s="21" t="s">
        <v>1833</v>
      </c>
      <c r="H76" s="21" t="s">
        <v>1834</v>
      </c>
      <c r="I76" s="19" t="s">
        <v>28</v>
      </c>
      <c r="J76" s="19" t="s">
        <v>75</v>
      </c>
      <c r="K76" s="19">
        <v>20.0</v>
      </c>
      <c r="L76" s="15" t="s">
        <v>47</v>
      </c>
      <c r="M76" s="17"/>
      <c r="N76" s="17"/>
    </row>
    <row r="77" ht="14.25" customHeight="1">
      <c r="A77" s="12" t="s">
        <v>1835</v>
      </c>
      <c r="B77" s="11" t="s">
        <v>367</v>
      </c>
      <c r="C77" s="11" t="s">
        <v>1059</v>
      </c>
      <c r="D77" s="12" t="s">
        <v>33</v>
      </c>
      <c r="E77" s="11" t="s">
        <v>1836</v>
      </c>
      <c r="F77" s="11" t="s">
        <v>1837</v>
      </c>
      <c r="G77" s="11" t="s">
        <v>1838</v>
      </c>
      <c r="H77" s="11" t="s">
        <v>1839</v>
      </c>
      <c r="I77" s="12" t="s">
        <v>28</v>
      </c>
      <c r="J77" s="12" t="s">
        <v>75</v>
      </c>
      <c r="K77" s="12">
        <v>25.0</v>
      </c>
      <c r="L77" s="15" t="s">
        <v>47</v>
      </c>
      <c r="M77" s="17"/>
      <c r="N77" s="17"/>
    </row>
    <row r="78" ht="14.25" customHeight="1">
      <c r="A78" s="19" t="s">
        <v>1840</v>
      </c>
      <c r="B78" s="21" t="s">
        <v>367</v>
      </c>
      <c r="C78" s="21" t="s">
        <v>1059</v>
      </c>
      <c r="D78" s="19" t="s">
        <v>33</v>
      </c>
      <c r="E78" s="21" t="s">
        <v>1841</v>
      </c>
      <c r="F78" s="21" t="s">
        <v>1842</v>
      </c>
      <c r="G78" s="21" t="s">
        <v>1843</v>
      </c>
      <c r="H78" s="21" t="s">
        <v>1844</v>
      </c>
      <c r="I78" s="19" t="s">
        <v>28</v>
      </c>
      <c r="J78" s="19" t="s">
        <v>75</v>
      </c>
      <c r="K78" s="19">
        <v>30.0</v>
      </c>
      <c r="L78" s="15" t="s">
        <v>47</v>
      </c>
      <c r="M78" s="17"/>
      <c r="N78" s="17"/>
    </row>
    <row r="79" ht="14.25" customHeight="1">
      <c r="A79" s="12" t="s">
        <v>1845</v>
      </c>
      <c r="B79" s="11" t="s">
        <v>367</v>
      </c>
      <c r="C79" s="11" t="s">
        <v>1059</v>
      </c>
      <c r="D79" s="12" t="s">
        <v>33</v>
      </c>
      <c r="E79" s="11" t="s">
        <v>1846</v>
      </c>
      <c r="F79" s="11" t="s">
        <v>1847</v>
      </c>
      <c r="G79" s="11" t="s">
        <v>1848</v>
      </c>
      <c r="H79" s="11" t="s">
        <v>1849</v>
      </c>
      <c r="I79" s="12" t="s">
        <v>28</v>
      </c>
      <c r="J79" s="12" t="s">
        <v>75</v>
      </c>
      <c r="K79" s="12">
        <v>40.0</v>
      </c>
      <c r="L79" s="15" t="s">
        <v>47</v>
      </c>
      <c r="M79" s="17"/>
      <c r="N79" s="17"/>
    </row>
    <row r="80" ht="14.25" customHeight="1">
      <c r="A80" s="19" t="s">
        <v>1850</v>
      </c>
      <c r="B80" s="21" t="s">
        <v>367</v>
      </c>
      <c r="C80" s="21" t="s">
        <v>1059</v>
      </c>
      <c r="D80" s="19" t="s">
        <v>33</v>
      </c>
      <c r="E80" s="21" t="s">
        <v>1851</v>
      </c>
      <c r="F80" s="21" t="s">
        <v>1852</v>
      </c>
      <c r="G80" s="21" t="s">
        <v>1853</v>
      </c>
      <c r="H80" s="21" t="s">
        <v>1854</v>
      </c>
      <c r="I80" s="19" t="s">
        <v>29</v>
      </c>
      <c r="J80" s="19" t="s">
        <v>75</v>
      </c>
      <c r="K80" s="19">
        <v>30.0</v>
      </c>
      <c r="L80" s="15" t="s">
        <v>47</v>
      </c>
      <c r="M80" s="17"/>
      <c r="N80" s="17"/>
    </row>
    <row r="81" ht="14.25" customHeight="1">
      <c r="A81" s="12" t="s">
        <v>1855</v>
      </c>
      <c r="B81" s="11" t="s">
        <v>367</v>
      </c>
      <c r="C81" s="11" t="s">
        <v>1856</v>
      </c>
      <c r="D81" s="12" t="s">
        <v>31</v>
      </c>
      <c r="E81" s="11" t="s">
        <v>1857</v>
      </c>
      <c r="F81" s="11" t="s">
        <v>1858</v>
      </c>
      <c r="G81" s="11" t="s">
        <v>1859</v>
      </c>
      <c r="H81" s="11" t="s">
        <v>1860</v>
      </c>
      <c r="I81" s="12" t="s">
        <v>28</v>
      </c>
      <c r="J81" s="12" t="s">
        <v>75</v>
      </c>
      <c r="K81" s="12">
        <v>30.0</v>
      </c>
      <c r="L81" s="15" t="s">
        <v>47</v>
      </c>
      <c r="M81" s="17"/>
      <c r="N81" s="17"/>
    </row>
    <row r="82" ht="14.25" customHeight="1">
      <c r="A82" s="19" t="s">
        <v>1861</v>
      </c>
      <c r="B82" s="21" t="s">
        <v>367</v>
      </c>
      <c r="C82" s="21" t="s">
        <v>1856</v>
      </c>
      <c r="D82" s="19" t="s">
        <v>31</v>
      </c>
      <c r="E82" s="21" t="s">
        <v>1862</v>
      </c>
      <c r="F82" s="21" t="s">
        <v>1863</v>
      </c>
      <c r="G82" s="21" t="s">
        <v>1864</v>
      </c>
      <c r="H82" s="21" t="s">
        <v>1865</v>
      </c>
      <c r="I82" s="19" t="s">
        <v>28</v>
      </c>
      <c r="J82" s="19" t="s">
        <v>75</v>
      </c>
      <c r="K82" s="19">
        <v>25.0</v>
      </c>
      <c r="L82" s="15" t="s">
        <v>47</v>
      </c>
      <c r="M82" s="17"/>
      <c r="N82" s="17"/>
    </row>
    <row r="83" ht="14.25" customHeight="1">
      <c r="A83" s="12" t="s">
        <v>1866</v>
      </c>
      <c r="B83" s="11" t="s">
        <v>367</v>
      </c>
      <c r="C83" s="11" t="s">
        <v>1856</v>
      </c>
      <c r="D83" s="12" t="s">
        <v>31</v>
      </c>
      <c r="E83" s="11" t="s">
        <v>1867</v>
      </c>
      <c r="F83" s="11" t="s">
        <v>1868</v>
      </c>
      <c r="G83" s="11" t="s">
        <v>1869</v>
      </c>
      <c r="H83" s="11" t="s">
        <v>1870</v>
      </c>
      <c r="I83" s="12" t="s">
        <v>29</v>
      </c>
      <c r="J83" s="12" t="s">
        <v>75</v>
      </c>
      <c r="K83" s="12">
        <v>25.0</v>
      </c>
      <c r="L83" s="15" t="s">
        <v>47</v>
      </c>
      <c r="M83" s="17"/>
      <c r="N83" s="17"/>
    </row>
    <row r="84" ht="14.25" customHeight="1">
      <c r="A84" s="19" t="s">
        <v>1871</v>
      </c>
      <c r="B84" s="21" t="s">
        <v>367</v>
      </c>
      <c r="C84" s="21" t="s">
        <v>1856</v>
      </c>
      <c r="D84" s="19" t="s">
        <v>183</v>
      </c>
      <c r="E84" s="21" t="s">
        <v>1872</v>
      </c>
      <c r="F84" s="21" t="s">
        <v>1873</v>
      </c>
      <c r="G84" s="21" t="s">
        <v>1874</v>
      </c>
      <c r="H84" s="21" t="s">
        <v>1875</v>
      </c>
      <c r="I84" s="19" t="s">
        <v>28</v>
      </c>
      <c r="J84" s="19" t="s">
        <v>352</v>
      </c>
      <c r="K84" s="19">
        <v>40.0</v>
      </c>
      <c r="L84" s="15" t="s">
        <v>47</v>
      </c>
      <c r="M84" s="17"/>
      <c r="N84" s="17"/>
    </row>
    <row r="85" ht="14.25" customHeight="1">
      <c r="A85" s="12" t="s">
        <v>1876</v>
      </c>
      <c r="B85" s="11" t="s">
        <v>367</v>
      </c>
      <c r="C85" s="11" t="s">
        <v>1729</v>
      </c>
      <c r="D85" s="12" t="s">
        <v>183</v>
      </c>
      <c r="E85" s="11" t="s">
        <v>1877</v>
      </c>
      <c r="F85" s="11" t="s">
        <v>1878</v>
      </c>
      <c r="G85" s="11" t="s">
        <v>1879</v>
      </c>
      <c r="H85" s="11" t="s">
        <v>1880</v>
      </c>
      <c r="I85" s="12" t="s">
        <v>28</v>
      </c>
      <c r="J85" s="12" t="s">
        <v>352</v>
      </c>
      <c r="K85" s="12">
        <v>25.0</v>
      </c>
      <c r="L85" s="15" t="s">
        <v>47</v>
      </c>
      <c r="M85" s="17"/>
      <c r="N85" s="17"/>
    </row>
    <row r="86" ht="14.25" customHeight="1">
      <c r="A86" s="19" t="s">
        <v>1881</v>
      </c>
      <c r="B86" s="21" t="s">
        <v>367</v>
      </c>
      <c r="C86" s="21" t="s">
        <v>1729</v>
      </c>
      <c r="D86" s="19" t="s">
        <v>183</v>
      </c>
      <c r="E86" s="21" t="s">
        <v>1882</v>
      </c>
      <c r="F86" s="21" t="s">
        <v>1883</v>
      </c>
      <c r="G86" s="21" t="s">
        <v>1884</v>
      </c>
      <c r="H86" s="21" t="s">
        <v>1885</v>
      </c>
      <c r="I86" s="19" t="s">
        <v>28</v>
      </c>
      <c r="J86" s="19" t="s">
        <v>352</v>
      </c>
      <c r="K86" s="19">
        <v>30.0</v>
      </c>
      <c r="L86" s="15" t="s">
        <v>47</v>
      </c>
      <c r="M86" s="17"/>
      <c r="N86" s="17"/>
    </row>
    <row r="87" ht="14.25" customHeight="1">
      <c r="A87" s="12" t="s">
        <v>1886</v>
      </c>
      <c r="B87" s="11" t="s">
        <v>367</v>
      </c>
      <c r="C87" s="11" t="s">
        <v>1887</v>
      </c>
      <c r="D87" s="12" t="s">
        <v>31</v>
      </c>
      <c r="E87" s="11" t="s">
        <v>1888</v>
      </c>
      <c r="F87" s="11" t="s">
        <v>1889</v>
      </c>
      <c r="G87" s="11" t="s">
        <v>1890</v>
      </c>
      <c r="H87" s="11" t="s">
        <v>1891</v>
      </c>
      <c r="I87" s="12" t="s">
        <v>28</v>
      </c>
      <c r="J87" s="12" t="s">
        <v>102</v>
      </c>
      <c r="K87" s="12">
        <v>25.0</v>
      </c>
      <c r="L87" s="15" t="s">
        <v>47</v>
      </c>
      <c r="M87" s="17"/>
      <c r="N87" s="17"/>
    </row>
    <row r="88" ht="14.25" customHeight="1">
      <c r="A88" s="19" t="s">
        <v>1892</v>
      </c>
      <c r="B88" s="21" t="s">
        <v>367</v>
      </c>
      <c r="C88" s="21" t="s">
        <v>1887</v>
      </c>
      <c r="D88" s="19" t="s">
        <v>31</v>
      </c>
      <c r="E88" s="21" t="s">
        <v>1893</v>
      </c>
      <c r="F88" s="21" t="s">
        <v>1894</v>
      </c>
      <c r="G88" s="21" t="s">
        <v>1895</v>
      </c>
      <c r="H88" s="21" t="s">
        <v>1896</v>
      </c>
      <c r="I88" s="19" t="s">
        <v>28</v>
      </c>
      <c r="J88" s="19" t="s">
        <v>102</v>
      </c>
      <c r="K88" s="19">
        <v>25.0</v>
      </c>
      <c r="L88" s="15" t="s">
        <v>47</v>
      </c>
      <c r="M88" s="17"/>
      <c r="N88" s="17"/>
    </row>
    <row r="89" ht="14.25" customHeight="1">
      <c r="A89" s="12" t="s">
        <v>1897</v>
      </c>
      <c r="B89" s="11" t="s">
        <v>367</v>
      </c>
      <c r="C89" s="11" t="s">
        <v>1887</v>
      </c>
      <c r="D89" s="12" t="s">
        <v>31</v>
      </c>
      <c r="E89" s="11" t="s">
        <v>1898</v>
      </c>
      <c r="F89" s="11" t="s">
        <v>1899</v>
      </c>
      <c r="G89" s="11" t="s">
        <v>1900</v>
      </c>
      <c r="H89" s="11" t="s">
        <v>1901</v>
      </c>
      <c r="I89" s="12" t="s">
        <v>29</v>
      </c>
      <c r="J89" s="12" t="s">
        <v>102</v>
      </c>
      <c r="K89" s="12">
        <v>20.0</v>
      </c>
      <c r="L89" s="15" t="s">
        <v>47</v>
      </c>
      <c r="M89" s="17"/>
      <c r="N89" s="17"/>
    </row>
    <row r="90" ht="14.25" customHeight="1">
      <c r="A90" s="19" t="s">
        <v>1902</v>
      </c>
      <c r="B90" s="21" t="s">
        <v>367</v>
      </c>
      <c r="C90" s="21" t="s">
        <v>1887</v>
      </c>
      <c r="D90" s="19" t="s">
        <v>31</v>
      </c>
      <c r="E90" s="21" t="s">
        <v>1903</v>
      </c>
      <c r="F90" s="21" t="s">
        <v>1904</v>
      </c>
      <c r="G90" s="21" t="s">
        <v>1905</v>
      </c>
      <c r="H90" s="21" t="s">
        <v>1906</v>
      </c>
      <c r="I90" s="19" t="s">
        <v>28</v>
      </c>
      <c r="J90" s="19" t="s">
        <v>102</v>
      </c>
      <c r="K90" s="19">
        <v>25.0</v>
      </c>
      <c r="L90" s="15" t="s">
        <v>47</v>
      </c>
      <c r="M90" s="17"/>
      <c r="N90" s="17"/>
    </row>
    <row r="91" ht="14.25" customHeight="1">
      <c r="A91" s="12" t="s">
        <v>1907</v>
      </c>
      <c r="B91" s="11" t="s">
        <v>367</v>
      </c>
      <c r="C91" s="11" t="s">
        <v>1908</v>
      </c>
      <c r="D91" s="12" t="s">
        <v>31</v>
      </c>
      <c r="E91" s="11" t="s">
        <v>1803</v>
      </c>
      <c r="F91" s="11" t="s">
        <v>1909</v>
      </c>
      <c r="G91" s="11" t="s">
        <v>1910</v>
      </c>
      <c r="H91" s="11" t="s">
        <v>1911</v>
      </c>
      <c r="I91" s="12" t="s">
        <v>29</v>
      </c>
      <c r="J91" s="12" t="s">
        <v>352</v>
      </c>
      <c r="K91" s="12">
        <v>30.0</v>
      </c>
      <c r="L91" s="15" t="s">
        <v>47</v>
      </c>
      <c r="M91" s="17"/>
      <c r="N91" s="17"/>
    </row>
    <row r="92" ht="14.25" customHeight="1">
      <c r="A92" s="19" t="s">
        <v>1912</v>
      </c>
      <c r="B92" s="21" t="s">
        <v>367</v>
      </c>
      <c r="C92" s="21" t="s">
        <v>1908</v>
      </c>
      <c r="D92" s="19" t="s">
        <v>31</v>
      </c>
      <c r="E92" s="21" t="s">
        <v>1803</v>
      </c>
      <c r="F92" s="21" t="s">
        <v>1913</v>
      </c>
      <c r="G92" s="21" t="s">
        <v>1914</v>
      </c>
      <c r="H92" s="21" t="s">
        <v>1915</v>
      </c>
      <c r="I92" s="19" t="s">
        <v>29</v>
      </c>
      <c r="J92" s="19" t="s">
        <v>352</v>
      </c>
      <c r="K92" s="19">
        <v>30.0</v>
      </c>
      <c r="L92" s="15" t="s">
        <v>47</v>
      </c>
      <c r="M92" s="17"/>
      <c r="N92" s="17"/>
    </row>
    <row r="93" ht="14.25" customHeight="1">
      <c r="A93" s="12" t="s">
        <v>1916</v>
      </c>
      <c r="B93" s="11" t="s">
        <v>367</v>
      </c>
      <c r="C93" s="11" t="s">
        <v>1917</v>
      </c>
      <c r="D93" s="12" t="s">
        <v>31</v>
      </c>
      <c r="E93" s="11" t="s">
        <v>1918</v>
      </c>
      <c r="F93" s="11" t="s">
        <v>1919</v>
      </c>
      <c r="G93" s="11" t="s">
        <v>1920</v>
      </c>
      <c r="H93" s="11" t="s">
        <v>1921</v>
      </c>
      <c r="I93" s="12" t="s">
        <v>28</v>
      </c>
      <c r="J93" s="12" t="s">
        <v>352</v>
      </c>
      <c r="K93" s="12">
        <v>45.0</v>
      </c>
      <c r="L93" s="15" t="s">
        <v>47</v>
      </c>
      <c r="M93" s="17"/>
      <c r="N93" s="17"/>
    </row>
    <row r="94" ht="14.25" customHeight="1">
      <c r="A94" s="19" t="s">
        <v>1922</v>
      </c>
      <c r="B94" s="21" t="s">
        <v>367</v>
      </c>
      <c r="C94" s="21" t="s">
        <v>1917</v>
      </c>
      <c r="D94" s="19" t="s">
        <v>31</v>
      </c>
      <c r="E94" s="21" t="s">
        <v>1923</v>
      </c>
      <c r="F94" s="21" t="s">
        <v>1924</v>
      </c>
      <c r="G94" s="21" t="s">
        <v>1925</v>
      </c>
      <c r="H94" s="21" t="s">
        <v>1926</v>
      </c>
      <c r="I94" s="19" t="s">
        <v>28</v>
      </c>
      <c r="J94" s="19" t="s">
        <v>352</v>
      </c>
      <c r="K94" s="19">
        <v>45.0</v>
      </c>
      <c r="L94" s="15" t="s">
        <v>47</v>
      </c>
      <c r="M94" s="17"/>
      <c r="N94" s="17"/>
    </row>
    <row r="95" ht="14.25" customHeight="1">
      <c r="A95" s="12" t="s">
        <v>1927</v>
      </c>
      <c r="B95" s="11" t="s">
        <v>367</v>
      </c>
      <c r="C95" s="11" t="s">
        <v>1928</v>
      </c>
      <c r="D95" s="12" t="s">
        <v>31</v>
      </c>
      <c r="E95" s="11" t="s">
        <v>1929</v>
      </c>
      <c r="F95" s="11" t="s">
        <v>1930</v>
      </c>
      <c r="G95" s="11" t="s">
        <v>1931</v>
      </c>
      <c r="H95" s="11" t="s">
        <v>1932</v>
      </c>
      <c r="I95" s="12" t="s">
        <v>28</v>
      </c>
      <c r="J95" s="12" t="s">
        <v>124</v>
      </c>
      <c r="K95" s="12">
        <v>60.0</v>
      </c>
      <c r="L95" s="15" t="s">
        <v>47</v>
      </c>
      <c r="M95" s="17"/>
      <c r="N95" s="17"/>
    </row>
    <row r="96" ht="14.25" customHeight="1">
      <c r="A96" s="19" t="s">
        <v>1933</v>
      </c>
      <c r="B96" s="21" t="s">
        <v>367</v>
      </c>
      <c r="C96" s="21" t="s">
        <v>1928</v>
      </c>
      <c r="D96" s="19" t="s">
        <v>33</v>
      </c>
      <c r="E96" s="21" t="s">
        <v>1934</v>
      </c>
      <c r="F96" s="21" t="s">
        <v>1935</v>
      </c>
      <c r="G96" s="21" t="s">
        <v>1936</v>
      </c>
      <c r="H96" s="21" t="s">
        <v>1937</v>
      </c>
      <c r="I96" s="19" t="s">
        <v>28</v>
      </c>
      <c r="J96" s="19" t="s">
        <v>124</v>
      </c>
      <c r="K96" s="19">
        <v>45.0</v>
      </c>
      <c r="L96" s="15" t="s">
        <v>47</v>
      </c>
      <c r="M96" s="17"/>
      <c r="N96" s="17"/>
    </row>
    <row r="97" ht="14.25" customHeight="1">
      <c r="A97" s="12" t="s">
        <v>1938</v>
      </c>
      <c r="B97" s="11" t="s">
        <v>367</v>
      </c>
      <c r="C97" s="11" t="s">
        <v>1928</v>
      </c>
      <c r="D97" s="12" t="s">
        <v>183</v>
      </c>
      <c r="E97" s="11" t="s">
        <v>1939</v>
      </c>
      <c r="F97" s="11" t="s">
        <v>1940</v>
      </c>
      <c r="G97" s="11" t="s">
        <v>1941</v>
      </c>
      <c r="H97" s="11" t="s">
        <v>1942</v>
      </c>
      <c r="I97" s="12" t="s">
        <v>28</v>
      </c>
      <c r="J97" s="12" t="s">
        <v>124</v>
      </c>
      <c r="K97" s="12">
        <v>60.0</v>
      </c>
      <c r="L97" s="15" t="s">
        <v>47</v>
      </c>
      <c r="M97" s="17"/>
      <c r="N97" s="17"/>
    </row>
    <row r="98" ht="14.25" customHeight="1"/>
    <row r="99" ht="14.25" customHeight="1">
      <c r="J99" s="3" t="s">
        <v>789</v>
      </c>
      <c r="K99" s="27">
        <f>SUM(K3:K97)</f>
        <v>2176</v>
      </c>
    </row>
    <row r="100" ht="14.25" customHeight="1">
      <c r="J100" s="3" t="s">
        <v>808</v>
      </c>
      <c r="K100" s="28">
        <f>K99/60</f>
        <v>36.26666667</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97"/>
  <mergeCells count="1">
    <mergeCell ref="A1:N1"/>
  </mergeCells>
  <conditionalFormatting sqref="L3:L97">
    <cfRule type="cellIs" dxfId="0" priority="1" operator="equal">
      <formula>"Pass"</formula>
    </cfRule>
  </conditionalFormatting>
  <conditionalFormatting sqref="L3:L97">
    <cfRule type="cellIs" dxfId="1" priority="2" operator="equal">
      <formula>"Fail"</formula>
    </cfRule>
  </conditionalFormatting>
  <conditionalFormatting sqref="L3:L97">
    <cfRule type="cellIs" dxfId="2" priority="3" operator="equal">
      <formula>"Blocked"</formula>
    </cfRule>
  </conditionalFormatting>
  <dataValidations>
    <dataValidation type="list" allowBlank="1" sqref="L3:L97">
      <formula1>"Not Run,Pass,Fail,Blocked,N-A"</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925</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939</v>
      </c>
      <c r="B3" s="11" t="s">
        <v>387</v>
      </c>
      <c r="C3" s="11" t="s">
        <v>926</v>
      </c>
      <c r="D3" s="12" t="s">
        <v>31</v>
      </c>
      <c r="E3" s="11" t="s">
        <v>942</v>
      </c>
      <c r="F3" s="11" t="s">
        <v>943</v>
      </c>
      <c r="G3" s="11" t="s">
        <v>945</v>
      </c>
      <c r="H3" s="11" t="s">
        <v>946</v>
      </c>
      <c r="I3" s="12" t="s">
        <v>28</v>
      </c>
      <c r="J3" s="12" t="s">
        <v>75</v>
      </c>
      <c r="K3" s="12">
        <v>10.0</v>
      </c>
      <c r="L3" s="15" t="s">
        <v>47</v>
      </c>
      <c r="M3" s="17"/>
      <c r="N3" s="17"/>
    </row>
    <row r="4" ht="14.25" customHeight="1">
      <c r="A4" s="19" t="s">
        <v>955</v>
      </c>
      <c r="B4" s="21" t="s">
        <v>387</v>
      </c>
      <c r="C4" s="21" t="s">
        <v>931</v>
      </c>
      <c r="D4" s="19" t="s">
        <v>31</v>
      </c>
      <c r="E4" s="21" t="s">
        <v>956</v>
      </c>
      <c r="F4" s="21" t="s">
        <v>957</v>
      </c>
      <c r="G4" s="21" t="s">
        <v>934</v>
      </c>
      <c r="H4" s="21" t="s">
        <v>959</v>
      </c>
      <c r="I4" s="19" t="s">
        <v>29</v>
      </c>
      <c r="J4" s="19" t="s">
        <v>197</v>
      </c>
      <c r="K4" s="19">
        <v>10.0</v>
      </c>
      <c r="L4" s="15" t="s">
        <v>47</v>
      </c>
      <c r="M4" s="17"/>
      <c r="N4" s="17"/>
    </row>
    <row r="5" ht="14.25" customHeight="1">
      <c r="A5" s="12" t="s">
        <v>964</v>
      </c>
      <c r="B5" s="11" t="s">
        <v>387</v>
      </c>
      <c r="C5" s="11" t="s">
        <v>965</v>
      </c>
      <c r="D5" s="12" t="s">
        <v>31</v>
      </c>
      <c r="E5" s="11" t="s">
        <v>956</v>
      </c>
      <c r="F5" s="11" t="s">
        <v>966</v>
      </c>
      <c r="G5" s="11" t="s">
        <v>967</v>
      </c>
      <c r="H5" s="11" t="s">
        <v>968</v>
      </c>
      <c r="I5" s="12" t="s">
        <v>29</v>
      </c>
      <c r="J5" s="12" t="s">
        <v>75</v>
      </c>
      <c r="K5" s="12">
        <v>20.0</v>
      </c>
      <c r="L5" s="15" t="s">
        <v>47</v>
      </c>
      <c r="M5" s="17"/>
      <c r="N5" s="17"/>
    </row>
    <row r="6" ht="14.25" customHeight="1">
      <c r="A6" s="19" t="s">
        <v>969</v>
      </c>
      <c r="B6" s="21" t="s">
        <v>387</v>
      </c>
      <c r="C6" s="21" t="s">
        <v>971</v>
      </c>
      <c r="D6" s="19" t="s">
        <v>31</v>
      </c>
      <c r="E6" s="21" t="s">
        <v>973</v>
      </c>
      <c r="F6" s="21" t="s">
        <v>974</v>
      </c>
      <c r="G6" s="21" t="s">
        <v>976</v>
      </c>
      <c r="H6" s="21" t="s">
        <v>978</v>
      </c>
      <c r="I6" s="19" t="s">
        <v>28</v>
      </c>
      <c r="J6" s="19" t="s">
        <v>75</v>
      </c>
      <c r="K6" s="19">
        <v>25.0</v>
      </c>
      <c r="L6" s="15" t="s">
        <v>47</v>
      </c>
      <c r="M6" s="17"/>
      <c r="N6" s="17"/>
    </row>
    <row r="7" ht="14.25" customHeight="1">
      <c r="A7" s="12" t="s">
        <v>980</v>
      </c>
      <c r="B7" s="11" t="s">
        <v>387</v>
      </c>
      <c r="C7" s="11" t="s">
        <v>971</v>
      </c>
      <c r="D7" s="12" t="s">
        <v>31</v>
      </c>
      <c r="E7" s="11" t="s">
        <v>982</v>
      </c>
      <c r="F7" s="11" t="s">
        <v>983</v>
      </c>
      <c r="G7" s="11" t="s">
        <v>984</v>
      </c>
      <c r="H7" s="11" t="s">
        <v>986</v>
      </c>
      <c r="I7" s="12" t="s">
        <v>28</v>
      </c>
      <c r="J7" s="12" t="s">
        <v>75</v>
      </c>
      <c r="K7" s="12">
        <v>15.0</v>
      </c>
      <c r="L7" s="15" t="s">
        <v>47</v>
      </c>
      <c r="M7" s="17"/>
      <c r="N7" s="17"/>
    </row>
    <row r="8" ht="14.25" customHeight="1">
      <c r="A8" s="19" t="s">
        <v>990</v>
      </c>
      <c r="B8" s="21" t="s">
        <v>387</v>
      </c>
      <c r="C8" s="21" t="s">
        <v>971</v>
      </c>
      <c r="D8" s="19" t="s">
        <v>31</v>
      </c>
      <c r="E8" s="21" t="s">
        <v>992</v>
      </c>
      <c r="F8" s="21" t="s">
        <v>993</v>
      </c>
      <c r="G8" s="21" t="s">
        <v>995</v>
      </c>
      <c r="H8" s="21" t="s">
        <v>996</v>
      </c>
      <c r="I8" s="19" t="s">
        <v>28</v>
      </c>
      <c r="J8" s="19" t="s">
        <v>75</v>
      </c>
      <c r="K8" s="19">
        <v>12.0</v>
      </c>
      <c r="L8" s="15" t="s">
        <v>47</v>
      </c>
      <c r="M8" s="17"/>
      <c r="N8" s="17"/>
    </row>
    <row r="9" ht="14.25" customHeight="1">
      <c r="A9" s="12" t="s">
        <v>1000</v>
      </c>
      <c r="B9" s="11" t="s">
        <v>387</v>
      </c>
      <c r="C9" s="11" t="s">
        <v>971</v>
      </c>
      <c r="D9" s="12" t="s">
        <v>31</v>
      </c>
      <c r="E9" s="11" t="s">
        <v>992</v>
      </c>
      <c r="F9" s="11" t="s">
        <v>1002</v>
      </c>
      <c r="G9" s="11" t="s">
        <v>1003</v>
      </c>
      <c r="H9" s="11" t="s">
        <v>1005</v>
      </c>
      <c r="I9" s="12" t="s">
        <v>28</v>
      </c>
      <c r="J9" s="12" t="s">
        <v>75</v>
      </c>
      <c r="K9" s="12">
        <v>15.0</v>
      </c>
      <c r="L9" s="15" t="s">
        <v>47</v>
      </c>
      <c r="M9" s="17"/>
      <c r="N9" s="17"/>
    </row>
    <row r="10" ht="14.25" customHeight="1">
      <c r="A10" s="19" t="s">
        <v>1009</v>
      </c>
      <c r="B10" s="21" t="s">
        <v>387</v>
      </c>
      <c r="C10" s="21" t="s">
        <v>971</v>
      </c>
      <c r="D10" s="19" t="s">
        <v>31</v>
      </c>
      <c r="E10" s="21" t="s">
        <v>992</v>
      </c>
      <c r="F10" s="21" t="s">
        <v>1011</v>
      </c>
      <c r="G10" s="21" t="s">
        <v>1012</v>
      </c>
      <c r="H10" s="21" t="s">
        <v>1013</v>
      </c>
      <c r="I10" s="19" t="s">
        <v>28</v>
      </c>
      <c r="J10" s="19" t="s">
        <v>103</v>
      </c>
      <c r="K10" s="19">
        <v>12.0</v>
      </c>
      <c r="L10" s="15" t="s">
        <v>47</v>
      </c>
      <c r="M10" s="17"/>
      <c r="N10" s="17"/>
    </row>
    <row r="11" ht="14.25" customHeight="1">
      <c r="A11" s="12" t="s">
        <v>1018</v>
      </c>
      <c r="B11" s="11" t="s">
        <v>387</v>
      </c>
      <c r="C11" s="11" t="s">
        <v>971</v>
      </c>
      <c r="D11" s="12" t="s">
        <v>31</v>
      </c>
      <c r="E11" s="11" t="s">
        <v>992</v>
      </c>
      <c r="F11" s="11" t="s">
        <v>1019</v>
      </c>
      <c r="G11" s="11" t="s">
        <v>1020</v>
      </c>
      <c r="H11" s="11" t="s">
        <v>1021</v>
      </c>
      <c r="I11" s="12" t="s">
        <v>28</v>
      </c>
      <c r="J11" s="12" t="s">
        <v>75</v>
      </c>
      <c r="K11" s="12">
        <v>20.0</v>
      </c>
      <c r="L11" s="15" t="s">
        <v>47</v>
      </c>
      <c r="M11" s="17"/>
      <c r="N11" s="17"/>
    </row>
    <row r="12" ht="14.25" customHeight="1">
      <c r="A12" s="19" t="s">
        <v>1025</v>
      </c>
      <c r="B12" s="21" t="s">
        <v>387</v>
      </c>
      <c r="C12" s="21" t="s">
        <v>971</v>
      </c>
      <c r="D12" s="19" t="s">
        <v>31</v>
      </c>
      <c r="E12" s="21" t="s">
        <v>1028</v>
      </c>
      <c r="F12" s="21" t="s">
        <v>1029</v>
      </c>
      <c r="G12" s="21" t="s">
        <v>1030</v>
      </c>
      <c r="H12" s="21" t="s">
        <v>1031</v>
      </c>
      <c r="I12" s="19" t="s">
        <v>29</v>
      </c>
      <c r="J12" s="19" t="s">
        <v>352</v>
      </c>
      <c r="K12" s="19">
        <v>25.0</v>
      </c>
      <c r="L12" s="15" t="s">
        <v>47</v>
      </c>
      <c r="M12" s="17"/>
      <c r="N12" s="17"/>
    </row>
    <row r="13" ht="14.25" customHeight="1">
      <c r="A13" s="12" t="s">
        <v>1033</v>
      </c>
      <c r="B13" s="11" t="s">
        <v>387</v>
      </c>
      <c r="C13" s="11" t="s">
        <v>1035</v>
      </c>
      <c r="D13" s="12" t="s">
        <v>31</v>
      </c>
      <c r="E13" s="11" t="s">
        <v>1038</v>
      </c>
      <c r="F13" s="11" t="s">
        <v>1039</v>
      </c>
      <c r="G13" s="11" t="s">
        <v>1040</v>
      </c>
      <c r="H13" s="11" t="s">
        <v>1041</v>
      </c>
      <c r="I13" s="12" t="s">
        <v>28</v>
      </c>
      <c r="J13" s="12" t="s">
        <v>75</v>
      </c>
      <c r="K13" s="12">
        <v>18.0</v>
      </c>
      <c r="L13" s="15" t="s">
        <v>47</v>
      </c>
      <c r="M13" s="17"/>
      <c r="N13" s="17"/>
    </row>
    <row r="14" ht="14.25" customHeight="1">
      <c r="A14" s="19" t="s">
        <v>1047</v>
      </c>
      <c r="B14" s="21" t="s">
        <v>387</v>
      </c>
      <c r="C14" s="21" t="s">
        <v>1048</v>
      </c>
      <c r="D14" s="19" t="s">
        <v>183</v>
      </c>
      <c r="E14" s="21" t="s">
        <v>1050</v>
      </c>
      <c r="F14" s="21" t="s">
        <v>1051</v>
      </c>
      <c r="G14" s="21" t="s">
        <v>1052</v>
      </c>
      <c r="H14" s="21" t="s">
        <v>1053</v>
      </c>
      <c r="I14" s="19" t="s">
        <v>28</v>
      </c>
      <c r="J14" s="19" t="s">
        <v>352</v>
      </c>
      <c r="K14" s="19">
        <v>30.0</v>
      </c>
      <c r="L14" s="15" t="s">
        <v>47</v>
      </c>
      <c r="M14" s="17"/>
      <c r="N14" s="17"/>
    </row>
    <row r="15" ht="14.25" customHeight="1">
      <c r="A15" s="12" t="s">
        <v>1058</v>
      </c>
      <c r="B15" s="11" t="s">
        <v>387</v>
      </c>
      <c r="C15" s="11" t="s">
        <v>1059</v>
      </c>
      <c r="D15" s="12" t="s">
        <v>33</v>
      </c>
      <c r="E15" s="11" t="s">
        <v>1060</v>
      </c>
      <c r="F15" s="11" t="s">
        <v>1062</v>
      </c>
      <c r="G15" s="11" t="s">
        <v>1063</v>
      </c>
      <c r="H15" s="11" t="s">
        <v>1065</v>
      </c>
      <c r="I15" s="12" t="s">
        <v>28</v>
      </c>
      <c r="J15" s="12" t="s">
        <v>75</v>
      </c>
      <c r="K15" s="12">
        <v>20.0</v>
      </c>
      <c r="L15" s="15" t="s">
        <v>47</v>
      </c>
      <c r="M15" s="17"/>
      <c r="N15" s="17"/>
    </row>
    <row r="16" ht="14.25" customHeight="1">
      <c r="A16" s="19" t="s">
        <v>1069</v>
      </c>
      <c r="B16" s="21" t="s">
        <v>387</v>
      </c>
      <c r="C16" s="21" t="s">
        <v>1059</v>
      </c>
      <c r="D16" s="19" t="s">
        <v>33</v>
      </c>
      <c r="E16" s="21" t="s">
        <v>1070</v>
      </c>
      <c r="F16" s="21" t="s">
        <v>1071</v>
      </c>
      <c r="G16" s="21" t="s">
        <v>1072</v>
      </c>
      <c r="H16" s="21" t="s">
        <v>1074</v>
      </c>
      <c r="I16" s="19" t="s">
        <v>29</v>
      </c>
      <c r="J16" s="19" t="s">
        <v>75</v>
      </c>
      <c r="K16" s="19">
        <v>20.0</v>
      </c>
      <c r="L16" s="15" t="s">
        <v>47</v>
      </c>
      <c r="M16" s="17"/>
      <c r="N16" s="17"/>
    </row>
    <row r="17" ht="14.25" customHeight="1">
      <c r="A17" s="12" t="s">
        <v>1079</v>
      </c>
      <c r="B17" s="11" t="s">
        <v>387</v>
      </c>
      <c r="C17" s="11" t="s">
        <v>1059</v>
      </c>
      <c r="D17" s="12" t="s">
        <v>33</v>
      </c>
      <c r="E17" s="11" t="s">
        <v>1082</v>
      </c>
      <c r="F17" s="11" t="s">
        <v>1083</v>
      </c>
      <c r="G17" s="11" t="s">
        <v>1084</v>
      </c>
      <c r="H17" s="11" t="s">
        <v>1085</v>
      </c>
      <c r="I17" s="12" t="s">
        <v>28</v>
      </c>
      <c r="J17" s="12" t="s">
        <v>75</v>
      </c>
      <c r="K17" s="12">
        <v>40.0</v>
      </c>
      <c r="L17" s="15" t="s">
        <v>47</v>
      </c>
      <c r="M17" s="17"/>
      <c r="N17" s="17"/>
    </row>
    <row r="18" ht="14.25" customHeight="1">
      <c r="A18" s="19" t="s">
        <v>1088</v>
      </c>
      <c r="B18" s="21" t="s">
        <v>387</v>
      </c>
      <c r="C18" s="21" t="s">
        <v>1059</v>
      </c>
      <c r="D18" s="19" t="s">
        <v>33</v>
      </c>
      <c r="E18" s="21" t="s">
        <v>1092</v>
      </c>
      <c r="F18" s="21" t="s">
        <v>1093</v>
      </c>
      <c r="G18" s="21" t="s">
        <v>1094</v>
      </c>
      <c r="H18" s="21" t="s">
        <v>1095</v>
      </c>
      <c r="I18" s="19" t="s">
        <v>28</v>
      </c>
      <c r="J18" s="19" t="s">
        <v>75</v>
      </c>
      <c r="K18" s="19">
        <v>20.0</v>
      </c>
      <c r="L18" s="15" t="s">
        <v>47</v>
      </c>
      <c r="M18" s="17"/>
      <c r="N18" s="17"/>
    </row>
    <row r="19" ht="14.25" customHeight="1">
      <c r="A19" s="12" t="s">
        <v>1098</v>
      </c>
      <c r="B19" s="11" t="s">
        <v>387</v>
      </c>
      <c r="C19" s="11" t="s">
        <v>1059</v>
      </c>
      <c r="D19" s="12" t="s">
        <v>33</v>
      </c>
      <c r="E19" s="11" t="s">
        <v>1101</v>
      </c>
      <c r="F19" s="11" t="s">
        <v>1102</v>
      </c>
      <c r="G19" s="11" t="s">
        <v>1103</v>
      </c>
      <c r="H19" s="11" t="s">
        <v>1104</v>
      </c>
      <c r="I19" s="12" t="s">
        <v>29</v>
      </c>
      <c r="J19" s="12" t="s">
        <v>75</v>
      </c>
      <c r="K19" s="12">
        <v>20.0</v>
      </c>
      <c r="L19" s="15" t="s">
        <v>47</v>
      </c>
      <c r="M19" s="17"/>
      <c r="N19" s="17"/>
    </row>
    <row r="20" ht="14.25" customHeight="1">
      <c r="A20" s="19" t="s">
        <v>1109</v>
      </c>
      <c r="B20" s="21" t="s">
        <v>387</v>
      </c>
      <c r="C20" s="21" t="s">
        <v>1059</v>
      </c>
      <c r="D20" s="19" t="s">
        <v>33</v>
      </c>
      <c r="E20" s="21" t="s">
        <v>1082</v>
      </c>
      <c r="F20" s="21" t="s">
        <v>1111</v>
      </c>
      <c r="G20" s="21" t="s">
        <v>1112</v>
      </c>
      <c r="H20" s="21" t="s">
        <v>1114</v>
      </c>
      <c r="I20" s="19" t="s">
        <v>28</v>
      </c>
      <c r="J20" s="19" t="s">
        <v>75</v>
      </c>
      <c r="K20" s="19">
        <v>18.0</v>
      </c>
      <c r="L20" s="15" t="s">
        <v>47</v>
      </c>
      <c r="M20" s="17"/>
      <c r="N20" s="17"/>
    </row>
    <row r="21" ht="14.25" customHeight="1">
      <c r="A21" s="12" t="s">
        <v>1117</v>
      </c>
      <c r="B21" s="11" t="s">
        <v>387</v>
      </c>
      <c r="C21" s="11" t="s">
        <v>1059</v>
      </c>
      <c r="D21" s="12" t="s">
        <v>33</v>
      </c>
      <c r="E21" s="11" t="s">
        <v>1082</v>
      </c>
      <c r="F21" s="11" t="s">
        <v>1122</v>
      </c>
      <c r="G21" s="11" t="s">
        <v>1124</v>
      </c>
      <c r="H21" s="11" t="s">
        <v>1125</v>
      </c>
      <c r="I21" s="12" t="s">
        <v>28</v>
      </c>
      <c r="J21" s="12" t="s">
        <v>75</v>
      </c>
      <c r="K21" s="12">
        <v>30.0</v>
      </c>
      <c r="L21" s="15" t="s">
        <v>47</v>
      </c>
      <c r="M21" s="17"/>
      <c r="N21" s="17"/>
    </row>
    <row r="22" ht="14.25" customHeight="1">
      <c r="A22" s="19" t="s">
        <v>1127</v>
      </c>
      <c r="B22" s="21" t="s">
        <v>387</v>
      </c>
      <c r="C22" s="21" t="s">
        <v>1059</v>
      </c>
      <c r="D22" s="19" t="s">
        <v>33</v>
      </c>
      <c r="E22" s="21" t="s">
        <v>1133</v>
      </c>
      <c r="F22" s="21" t="s">
        <v>1135</v>
      </c>
      <c r="G22" s="21" t="s">
        <v>1136</v>
      </c>
      <c r="H22" s="21" t="s">
        <v>1137</v>
      </c>
      <c r="I22" s="19" t="s">
        <v>28</v>
      </c>
      <c r="J22" s="19" t="s">
        <v>102</v>
      </c>
      <c r="K22" s="19">
        <v>25.0</v>
      </c>
      <c r="L22" s="15" t="s">
        <v>47</v>
      </c>
      <c r="M22" s="17"/>
      <c r="N22" s="17"/>
    </row>
    <row r="23" ht="14.25" customHeight="1">
      <c r="A23" s="12" t="s">
        <v>1141</v>
      </c>
      <c r="B23" s="11" t="s">
        <v>387</v>
      </c>
      <c r="C23" s="11" t="s">
        <v>1059</v>
      </c>
      <c r="D23" s="12" t="s">
        <v>33</v>
      </c>
      <c r="E23" s="11" t="s">
        <v>1143</v>
      </c>
      <c r="F23" s="11" t="s">
        <v>1144</v>
      </c>
      <c r="G23" s="11" t="s">
        <v>1145</v>
      </c>
      <c r="H23" s="11" t="s">
        <v>1147</v>
      </c>
      <c r="I23" s="12" t="s">
        <v>28</v>
      </c>
      <c r="J23" s="12" t="s">
        <v>102</v>
      </c>
      <c r="K23" s="12">
        <v>25.0</v>
      </c>
      <c r="L23" s="15" t="s">
        <v>47</v>
      </c>
      <c r="M23" s="17"/>
      <c r="N23" s="17"/>
    </row>
    <row r="24" ht="14.25" customHeight="1">
      <c r="A24" s="19" t="s">
        <v>1153</v>
      </c>
      <c r="B24" s="21" t="s">
        <v>387</v>
      </c>
      <c r="C24" s="21" t="s">
        <v>1059</v>
      </c>
      <c r="D24" s="19" t="s">
        <v>33</v>
      </c>
      <c r="E24" s="21" t="s">
        <v>1154</v>
      </c>
      <c r="F24" s="21" t="s">
        <v>1156</v>
      </c>
      <c r="G24" s="21" t="s">
        <v>1157</v>
      </c>
      <c r="H24" s="21" t="s">
        <v>1158</v>
      </c>
      <c r="I24" s="19" t="s">
        <v>28</v>
      </c>
      <c r="J24" s="19" t="s">
        <v>75</v>
      </c>
      <c r="K24" s="19">
        <v>30.0</v>
      </c>
      <c r="L24" s="15" t="s">
        <v>47</v>
      </c>
      <c r="M24" s="17"/>
      <c r="N24" s="17"/>
    </row>
    <row r="25" ht="14.25" customHeight="1">
      <c r="A25" s="12" t="s">
        <v>1165</v>
      </c>
      <c r="B25" s="11" t="s">
        <v>387</v>
      </c>
      <c r="C25" s="11" t="s">
        <v>1059</v>
      </c>
      <c r="D25" s="12" t="s">
        <v>33</v>
      </c>
      <c r="E25" s="11" t="s">
        <v>1167</v>
      </c>
      <c r="F25" s="11" t="s">
        <v>1169</v>
      </c>
      <c r="G25" s="11" t="s">
        <v>1170</v>
      </c>
      <c r="H25" s="11" t="s">
        <v>1172</v>
      </c>
      <c r="I25" s="12" t="s">
        <v>28</v>
      </c>
      <c r="J25" s="12" t="s">
        <v>102</v>
      </c>
      <c r="K25" s="12">
        <v>25.0</v>
      </c>
      <c r="L25" s="15" t="s">
        <v>47</v>
      </c>
      <c r="M25" s="17"/>
      <c r="N25" s="17"/>
    </row>
    <row r="26" ht="14.25" customHeight="1">
      <c r="A26" s="19" t="s">
        <v>1176</v>
      </c>
      <c r="B26" s="21" t="s">
        <v>387</v>
      </c>
      <c r="C26" s="21" t="s">
        <v>1059</v>
      </c>
      <c r="D26" s="19" t="s">
        <v>33</v>
      </c>
      <c r="E26" s="21" t="s">
        <v>1182</v>
      </c>
      <c r="F26" s="21" t="s">
        <v>1185</v>
      </c>
      <c r="G26" s="21" t="s">
        <v>1186</v>
      </c>
      <c r="H26" s="21" t="s">
        <v>1187</v>
      </c>
      <c r="I26" s="19" t="s">
        <v>28</v>
      </c>
      <c r="J26" s="19" t="s">
        <v>103</v>
      </c>
      <c r="K26" s="19">
        <v>20.0</v>
      </c>
      <c r="L26" s="15" t="s">
        <v>47</v>
      </c>
      <c r="M26" s="17"/>
      <c r="N26" s="17"/>
    </row>
    <row r="27" ht="14.25" customHeight="1">
      <c r="A27" s="12" t="s">
        <v>1192</v>
      </c>
      <c r="B27" s="11" t="s">
        <v>387</v>
      </c>
      <c r="C27" s="11" t="s">
        <v>1059</v>
      </c>
      <c r="D27" s="12" t="s">
        <v>33</v>
      </c>
      <c r="E27" s="11" t="s">
        <v>1199</v>
      </c>
      <c r="F27" s="11" t="s">
        <v>1200</v>
      </c>
      <c r="G27" s="11" t="s">
        <v>1203</v>
      </c>
      <c r="H27" s="11" t="s">
        <v>1204</v>
      </c>
      <c r="I27" s="12" t="s">
        <v>28</v>
      </c>
      <c r="J27" s="12" t="s">
        <v>103</v>
      </c>
      <c r="K27" s="12">
        <v>20.0</v>
      </c>
      <c r="L27" s="15" t="s">
        <v>47</v>
      </c>
      <c r="M27" s="17"/>
      <c r="N27" s="17"/>
    </row>
    <row r="28" ht="14.25" customHeight="1">
      <c r="A28" s="19" t="s">
        <v>1212</v>
      </c>
      <c r="B28" s="21" t="s">
        <v>387</v>
      </c>
      <c r="C28" s="21" t="s">
        <v>1059</v>
      </c>
      <c r="D28" s="19" t="s">
        <v>33</v>
      </c>
      <c r="E28" s="21" t="s">
        <v>1215</v>
      </c>
      <c r="F28" s="21" t="s">
        <v>1218</v>
      </c>
      <c r="G28" s="21" t="s">
        <v>1220</v>
      </c>
      <c r="H28" s="21" t="s">
        <v>1222</v>
      </c>
      <c r="I28" s="19" t="s">
        <v>28</v>
      </c>
      <c r="J28" s="19" t="s">
        <v>75</v>
      </c>
      <c r="K28" s="19">
        <v>30.0</v>
      </c>
      <c r="L28" s="15" t="s">
        <v>47</v>
      </c>
      <c r="M28" s="17"/>
      <c r="N28" s="17"/>
    </row>
    <row r="29" ht="14.25" customHeight="1">
      <c r="A29" s="12" t="s">
        <v>1228</v>
      </c>
      <c r="B29" s="11" t="s">
        <v>387</v>
      </c>
      <c r="C29" s="11" t="s">
        <v>1059</v>
      </c>
      <c r="D29" s="12" t="s">
        <v>33</v>
      </c>
      <c r="E29" s="11" t="s">
        <v>1234</v>
      </c>
      <c r="F29" s="11" t="s">
        <v>1235</v>
      </c>
      <c r="G29" s="11" t="s">
        <v>1237</v>
      </c>
      <c r="H29" s="11" t="s">
        <v>1238</v>
      </c>
      <c r="I29" s="12" t="s">
        <v>28</v>
      </c>
      <c r="J29" s="12" t="s">
        <v>75</v>
      </c>
      <c r="K29" s="12">
        <v>20.0</v>
      </c>
      <c r="L29" s="15" t="s">
        <v>47</v>
      </c>
      <c r="M29" s="17"/>
      <c r="N29" s="17"/>
    </row>
    <row r="30" ht="14.25" customHeight="1">
      <c r="A30" s="19" t="s">
        <v>1251</v>
      </c>
      <c r="B30" s="21" t="s">
        <v>387</v>
      </c>
      <c r="C30" s="21" t="s">
        <v>1059</v>
      </c>
      <c r="D30" s="19" t="s">
        <v>33</v>
      </c>
      <c r="E30" s="21" t="s">
        <v>1253</v>
      </c>
      <c r="F30" s="21" t="s">
        <v>1255</v>
      </c>
      <c r="G30" s="21" t="s">
        <v>1257</v>
      </c>
      <c r="H30" s="21" t="s">
        <v>1259</v>
      </c>
      <c r="I30" s="19" t="s">
        <v>28</v>
      </c>
      <c r="J30" s="19" t="s">
        <v>75</v>
      </c>
      <c r="K30" s="19">
        <v>35.0</v>
      </c>
      <c r="L30" s="15" t="s">
        <v>47</v>
      </c>
      <c r="M30" s="17"/>
      <c r="N30" s="17"/>
    </row>
    <row r="31" ht="14.25" customHeight="1">
      <c r="A31" s="12" t="s">
        <v>1266</v>
      </c>
      <c r="B31" s="11" t="s">
        <v>387</v>
      </c>
      <c r="C31" s="11" t="s">
        <v>1059</v>
      </c>
      <c r="D31" s="12" t="s">
        <v>33</v>
      </c>
      <c r="E31" s="11" t="s">
        <v>1270</v>
      </c>
      <c r="F31" s="11" t="s">
        <v>1272</v>
      </c>
      <c r="G31" s="11" t="s">
        <v>1274</v>
      </c>
      <c r="H31" s="11" t="s">
        <v>1275</v>
      </c>
      <c r="I31" s="12" t="s">
        <v>28</v>
      </c>
      <c r="J31" s="12" t="s">
        <v>75</v>
      </c>
      <c r="K31" s="12">
        <v>40.0</v>
      </c>
      <c r="L31" s="15" t="s">
        <v>47</v>
      </c>
      <c r="M31" s="17"/>
      <c r="N31" s="17"/>
    </row>
    <row r="32" ht="14.25" customHeight="1">
      <c r="A32" s="19" t="s">
        <v>1282</v>
      </c>
      <c r="B32" s="21" t="s">
        <v>387</v>
      </c>
      <c r="C32" s="21" t="s">
        <v>1059</v>
      </c>
      <c r="D32" s="19" t="s">
        <v>33</v>
      </c>
      <c r="E32" s="21" t="s">
        <v>1285</v>
      </c>
      <c r="F32" s="21" t="s">
        <v>1286</v>
      </c>
      <c r="G32" s="21" t="s">
        <v>1288</v>
      </c>
      <c r="H32" s="21" t="s">
        <v>1292</v>
      </c>
      <c r="I32" s="19" t="s">
        <v>28</v>
      </c>
      <c r="J32" s="19" t="s">
        <v>102</v>
      </c>
      <c r="K32" s="19">
        <v>30.0</v>
      </c>
      <c r="L32" s="15" t="s">
        <v>47</v>
      </c>
      <c r="M32" s="17"/>
      <c r="N32" s="17"/>
    </row>
    <row r="33" ht="14.25" customHeight="1">
      <c r="A33" s="12" t="s">
        <v>1297</v>
      </c>
      <c r="B33" s="11" t="s">
        <v>387</v>
      </c>
      <c r="C33" s="11" t="s">
        <v>1059</v>
      </c>
      <c r="D33" s="12" t="s">
        <v>33</v>
      </c>
      <c r="E33" s="11" t="s">
        <v>1070</v>
      </c>
      <c r="F33" s="11" t="s">
        <v>1303</v>
      </c>
      <c r="G33" s="11" t="s">
        <v>1305</v>
      </c>
      <c r="H33" s="11" t="s">
        <v>1307</v>
      </c>
      <c r="I33" s="12" t="s">
        <v>28</v>
      </c>
      <c r="J33" s="12" t="s">
        <v>124</v>
      </c>
      <c r="K33" s="12">
        <v>40.0</v>
      </c>
      <c r="L33" s="15" t="s">
        <v>47</v>
      </c>
      <c r="M33" s="17"/>
      <c r="N33" s="17"/>
    </row>
    <row r="34" ht="14.25" customHeight="1">
      <c r="A34" s="19" t="s">
        <v>1314</v>
      </c>
      <c r="B34" s="21" t="s">
        <v>387</v>
      </c>
      <c r="C34" s="21" t="s">
        <v>1316</v>
      </c>
      <c r="D34" s="19" t="s">
        <v>183</v>
      </c>
      <c r="E34" s="21" t="s">
        <v>1320</v>
      </c>
      <c r="F34" s="21" t="s">
        <v>1323</v>
      </c>
      <c r="G34" s="21" t="s">
        <v>1327</v>
      </c>
      <c r="H34" s="21" t="s">
        <v>1328</v>
      </c>
      <c r="I34" s="19" t="s">
        <v>28</v>
      </c>
      <c r="J34" s="19" t="s">
        <v>352</v>
      </c>
      <c r="K34" s="19">
        <v>40.0</v>
      </c>
      <c r="L34" s="15" t="s">
        <v>47</v>
      </c>
      <c r="M34" s="17"/>
      <c r="N34" s="17"/>
    </row>
    <row r="35" ht="14.25" customHeight="1">
      <c r="A35" s="12" t="s">
        <v>1334</v>
      </c>
      <c r="B35" s="11" t="s">
        <v>387</v>
      </c>
      <c r="C35" s="11" t="s">
        <v>1316</v>
      </c>
      <c r="D35" s="12" t="s">
        <v>31</v>
      </c>
      <c r="E35" s="11" t="s">
        <v>1339</v>
      </c>
      <c r="F35" s="11" t="s">
        <v>1341</v>
      </c>
      <c r="G35" s="11" t="s">
        <v>1343</v>
      </c>
      <c r="H35" s="11" t="s">
        <v>1345</v>
      </c>
      <c r="I35" s="12" t="s">
        <v>28</v>
      </c>
      <c r="J35" s="12" t="s">
        <v>352</v>
      </c>
      <c r="K35" s="12">
        <v>30.0</v>
      </c>
      <c r="L35" s="15" t="s">
        <v>47</v>
      </c>
      <c r="M35" s="17"/>
      <c r="N35" s="17"/>
    </row>
    <row r="36" ht="14.25" customHeight="1">
      <c r="A36" s="19" t="s">
        <v>1349</v>
      </c>
      <c r="B36" s="21" t="s">
        <v>387</v>
      </c>
      <c r="C36" s="21" t="s">
        <v>1352</v>
      </c>
      <c r="D36" s="19" t="s">
        <v>31</v>
      </c>
      <c r="E36" s="21" t="s">
        <v>1356</v>
      </c>
      <c r="F36" s="21" t="s">
        <v>1358</v>
      </c>
      <c r="G36" s="21" t="s">
        <v>1362</v>
      </c>
      <c r="H36" s="21" t="s">
        <v>1364</v>
      </c>
      <c r="I36" s="19" t="s">
        <v>28</v>
      </c>
      <c r="J36" s="19" t="s">
        <v>75</v>
      </c>
      <c r="K36" s="19">
        <v>25.0</v>
      </c>
      <c r="L36" s="15" t="s">
        <v>47</v>
      </c>
      <c r="M36" s="17"/>
      <c r="N36" s="17"/>
    </row>
    <row r="37" ht="14.25" customHeight="1">
      <c r="A37" s="12" t="s">
        <v>1367</v>
      </c>
      <c r="B37" s="11" t="s">
        <v>387</v>
      </c>
      <c r="C37" s="11" t="s">
        <v>1352</v>
      </c>
      <c r="D37" s="12" t="s">
        <v>31</v>
      </c>
      <c r="E37" s="11" t="s">
        <v>1371</v>
      </c>
      <c r="F37" s="11" t="s">
        <v>1374</v>
      </c>
      <c r="G37" s="11" t="s">
        <v>1377</v>
      </c>
      <c r="H37" s="11" t="s">
        <v>1379</v>
      </c>
      <c r="I37" s="12" t="s">
        <v>28</v>
      </c>
      <c r="J37" s="12" t="s">
        <v>75</v>
      </c>
      <c r="K37" s="12">
        <v>25.0</v>
      </c>
      <c r="L37" s="15" t="s">
        <v>47</v>
      </c>
      <c r="M37" s="17"/>
      <c r="N37" s="17"/>
    </row>
    <row r="38" ht="14.25" customHeight="1">
      <c r="A38" s="19" t="s">
        <v>1381</v>
      </c>
      <c r="B38" s="21" t="s">
        <v>387</v>
      </c>
      <c r="C38" s="21" t="s">
        <v>1352</v>
      </c>
      <c r="D38" s="19" t="s">
        <v>31</v>
      </c>
      <c r="E38" s="21" t="s">
        <v>1356</v>
      </c>
      <c r="F38" s="21" t="s">
        <v>1384</v>
      </c>
      <c r="G38" s="21" t="s">
        <v>1385</v>
      </c>
      <c r="H38" s="21" t="s">
        <v>1386</v>
      </c>
      <c r="I38" s="19" t="s">
        <v>28</v>
      </c>
      <c r="J38" s="19" t="s">
        <v>102</v>
      </c>
      <c r="K38" s="19">
        <v>25.0</v>
      </c>
      <c r="L38" s="15" t="s">
        <v>47</v>
      </c>
      <c r="M38" s="17"/>
      <c r="N38" s="17"/>
    </row>
    <row r="39" ht="14.25" customHeight="1">
      <c r="A39" s="12" t="s">
        <v>1391</v>
      </c>
      <c r="B39" s="11" t="s">
        <v>387</v>
      </c>
      <c r="C39" s="11" t="s">
        <v>1394</v>
      </c>
      <c r="D39" s="12" t="s">
        <v>31</v>
      </c>
      <c r="E39" s="11" t="s">
        <v>1356</v>
      </c>
      <c r="F39" s="11" t="s">
        <v>1397</v>
      </c>
      <c r="G39" s="11" t="s">
        <v>1398</v>
      </c>
      <c r="H39" s="11" t="s">
        <v>1400</v>
      </c>
      <c r="I39" s="12" t="s">
        <v>29</v>
      </c>
      <c r="J39" s="12" t="s">
        <v>75</v>
      </c>
      <c r="K39" s="12">
        <v>25.0</v>
      </c>
      <c r="L39" s="15" t="s">
        <v>47</v>
      </c>
      <c r="M39" s="17"/>
      <c r="N39" s="17"/>
    </row>
    <row r="40" ht="14.25" customHeight="1">
      <c r="A40" s="19" t="s">
        <v>1407</v>
      </c>
      <c r="B40" s="21" t="s">
        <v>387</v>
      </c>
      <c r="C40" s="21" t="s">
        <v>1412</v>
      </c>
      <c r="D40" s="19" t="s">
        <v>31</v>
      </c>
      <c r="E40" s="21" t="s">
        <v>1356</v>
      </c>
      <c r="F40" s="21" t="s">
        <v>1415</v>
      </c>
      <c r="G40" s="21" t="s">
        <v>1417</v>
      </c>
      <c r="H40" s="21" t="s">
        <v>1420</v>
      </c>
      <c r="I40" s="19" t="s">
        <v>28</v>
      </c>
      <c r="J40" s="19" t="s">
        <v>75</v>
      </c>
      <c r="K40" s="19">
        <v>30.0</v>
      </c>
      <c r="L40" s="15" t="s">
        <v>47</v>
      </c>
      <c r="M40" s="17"/>
      <c r="N40" s="17"/>
    </row>
    <row r="41" ht="14.25" customHeight="1">
      <c r="A41" s="12" t="s">
        <v>1425</v>
      </c>
      <c r="B41" s="11" t="s">
        <v>387</v>
      </c>
      <c r="C41" s="11" t="s">
        <v>1412</v>
      </c>
      <c r="D41" s="12" t="s">
        <v>31</v>
      </c>
      <c r="E41" s="11" t="s">
        <v>1428</v>
      </c>
      <c r="F41" s="11" t="s">
        <v>1430</v>
      </c>
      <c r="G41" s="11" t="s">
        <v>1432</v>
      </c>
      <c r="H41" s="11" t="s">
        <v>1434</v>
      </c>
      <c r="I41" s="12" t="s">
        <v>28</v>
      </c>
      <c r="J41" s="12" t="s">
        <v>75</v>
      </c>
      <c r="K41" s="12">
        <v>30.0</v>
      </c>
      <c r="L41" s="15" t="s">
        <v>47</v>
      </c>
      <c r="M41" s="17"/>
      <c r="N41" s="17"/>
    </row>
    <row r="42" ht="14.25" customHeight="1">
      <c r="A42" s="19" t="s">
        <v>1439</v>
      </c>
      <c r="B42" s="21" t="s">
        <v>387</v>
      </c>
      <c r="C42" s="21" t="s">
        <v>1444</v>
      </c>
      <c r="D42" s="19" t="s">
        <v>31</v>
      </c>
      <c r="E42" s="21" t="s">
        <v>1447</v>
      </c>
      <c r="F42" s="21" t="s">
        <v>1449</v>
      </c>
      <c r="G42" s="21" t="s">
        <v>1452</v>
      </c>
      <c r="H42" s="21" t="s">
        <v>1456</v>
      </c>
      <c r="I42" s="19" t="s">
        <v>28</v>
      </c>
      <c r="J42" s="19" t="s">
        <v>103</v>
      </c>
      <c r="K42" s="19">
        <v>25.0</v>
      </c>
      <c r="L42" s="15" t="s">
        <v>47</v>
      </c>
      <c r="M42" s="17"/>
      <c r="N42" s="17"/>
    </row>
    <row r="43" ht="14.25" customHeight="1">
      <c r="A43" s="12" t="s">
        <v>1463</v>
      </c>
      <c r="B43" s="11" t="s">
        <v>387</v>
      </c>
      <c r="C43" s="11" t="s">
        <v>1465</v>
      </c>
      <c r="D43" s="12" t="s">
        <v>183</v>
      </c>
      <c r="E43" s="11" t="s">
        <v>1467</v>
      </c>
      <c r="F43" s="11" t="s">
        <v>1470</v>
      </c>
      <c r="G43" s="11" t="s">
        <v>1472</v>
      </c>
      <c r="H43" s="11" t="s">
        <v>1473</v>
      </c>
      <c r="I43" s="12" t="s">
        <v>28</v>
      </c>
      <c r="J43" s="12" t="s">
        <v>1465</v>
      </c>
      <c r="K43" s="12">
        <v>35.0</v>
      </c>
      <c r="L43" s="15" t="s">
        <v>47</v>
      </c>
      <c r="M43" s="17"/>
      <c r="N43" s="17"/>
    </row>
    <row r="44" ht="14.25" customHeight="1">
      <c r="A44" s="19" t="s">
        <v>1479</v>
      </c>
      <c r="B44" s="21" t="s">
        <v>387</v>
      </c>
      <c r="C44" s="21" t="s">
        <v>732</v>
      </c>
      <c r="D44" s="19" t="s">
        <v>183</v>
      </c>
      <c r="E44" s="21" t="s">
        <v>1482</v>
      </c>
      <c r="F44" s="21" t="s">
        <v>1484</v>
      </c>
      <c r="G44" s="21" t="s">
        <v>1485</v>
      </c>
      <c r="H44" s="21" t="s">
        <v>1486</v>
      </c>
      <c r="I44" s="19" t="s">
        <v>29</v>
      </c>
      <c r="J44" s="19" t="s">
        <v>732</v>
      </c>
      <c r="K44" s="19">
        <v>30.0</v>
      </c>
      <c r="L44" s="15" t="s">
        <v>47</v>
      </c>
      <c r="M44" s="17"/>
      <c r="N44" s="17"/>
    </row>
    <row r="45" ht="14.25" customHeight="1">
      <c r="A45" s="12" t="s">
        <v>1497</v>
      </c>
      <c r="B45" s="11" t="s">
        <v>387</v>
      </c>
      <c r="C45" s="11" t="s">
        <v>1498</v>
      </c>
      <c r="D45" s="12" t="s">
        <v>183</v>
      </c>
      <c r="E45" s="11" t="s">
        <v>1500</v>
      </c>
      <c r="F45" s="11" t="s">
        <v>1502</v>
      </c>
      <c r="G45" s="11" t="s">
        <v>1504</v>
      </c>
      <c r="H45" s="11" t="s">
        <v>1507</v>
      </c>
      <c r="I45" s="12" t="s">
        <v>29</v>
      </c>
      <c r="J45" s="12" t="s">
        <v>75</v>
      </c>
      <c r="K45" s="12">
        <v>30.0</v>
      </c>
      <c r="L45" s="15" t="s">
        <v>47</v>
      </c>
      <c r="M45" s="17"/>
      <c r="N45" s="17"/>
    </row>
    <row r="46" ht="14.25" customHeight="1">
      <c r="A46" s="19" t="s">
        <v>1513</v>
      </c>
      <c r="B46" s="21" t="s">
        <v>387</v>
      </c>
      <c r="C46" s="21" t="s">
        <v>103</v>
      </c>
      <c r="D46" s="19" t="s">
        <v>31</v>
      </c>
      <c r="E46" s="21" t="s">
        <v>1060</v>
      </c>
      <c r="F46" s="21" t="s">
        <v>1518</v>
      </c>
      <c r="G46" s="21" t="s">
        <v>1520</v>
      </c>
      <c r="H46" s="21" t="s">
        <v>1523</v>
      </c>
      <c r="I46" s="19" t="s">
        <v>29</v>
      </c>
      <c r="J46" s="19" t="s">
        <v>103</v>
      </c>
      <c r="K46" s="19">
        <v>20.0</v>
      </c>
      <c r="L46" s="15" t="s">
        <v>47</v>
      </c>
      <c r="M46" s="17"/>
      <c r="N46" s="17"/>
    </row>
    <row r="47" ht="14.25" customHeight="1">
      <c r="A47" s="12" t="s">
        <v>1531</v>
      </c>
      <c r="B47" s="11" t="s">
        <v>387</v>
      </c>
      <c r="C47" s="11" t="s">
        <v>103</v>
      </c>
      <c r="D47" s="12" t="s">
        <v>33</v>
      </c>
      <c r="E47" s="11" t="s">
        <v>1533</v>
      </c>
      <c r="F47" s="11" t="s">
        <v>1535</v>
      </c>
      <c r="G47" s="11" t="s">
        <v>1536</v>
      </c>
      <c r="H47" s="11" t="s">
        <v>1537</v>
      </c>
      <c r="I47" s="12" t="s">
        <v>29</v>
      </c>
      <c r="J47" s="12" t="s">
        <v>103</v>
      </c>
      <c r="K47" s="12">
        <v>20.0</v>
      </c>
      <c r="L47" s="15" t="s">
        <v>47</v>
      </c>
      <c r="M47" s="17"/>
      <c r="N47" s="17"/>
    </row>
    <row r="48" ht="14.25" customHeight="1"/>
    <row r="49" ht="14.25" customHeight="1">
      <c r="J49" s="3" t="s">
        <v>789</v>
      </c>
      <c r="K49" s="27">
        <f>SUM(K3:K47)</f>
        <v>1110</v>
      </c>
    </row>
    <row r="50" ht="14.25" customHeight="1">
      <c r="J50" s="3" t="s">
        <v>808</v>
      </c>
      <c r="K50" s="28">
        <f>K49/60</f>
        <v>18.5</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47"/>
  <mergeCells count="1">
    <mergeCell ref="A1:N1"/>
  </mergeCells>
  <conditionalFormatting sqref="L3:L47">
    <cfRule type="cellIs" dxfId="0" priority="1" operator="equal">
      <formula>"Pass"</formula>
    </cfRule>
  </conditionalFormatting>
  <conditionalFormatting sqref="L3:L47">
    <cfRule type="cellIs" dxfId="1" priority="2" operator="equal">
      <formula>"Fail"</formula>
    </cfRule>
  </conditionalFormatting>
  <conditionalFormatting sqref="L3:L47">
    <cfRule type="cellIs" dxfId="2" priority="3" operator="equal">
      <formula>"Blocked"</formula>
    </cfRule>
  </conditionalFormatting>
  <dataValidations>
    <dataValidation type="list" allowBlank="1" sqref="L3:L47">
      <formula1>"Not Run,Pass,Fail,Blocked,N-A"</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1076</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1123</v>
      </c>
      <c r="B3" s="11" t="s">
        <v>450</v>
      </c>
      <c r="C3" s="11" t="s">
        <v>926</v>
      </c>
      <c r="D3" s="12" t="s">
        <v>31</v>
      </c>
      <c r="E3" s="11" t="s">
        <v>942</v>
      </c>
      <c r="F3" s="11" t="s">
        <v>1130</v>
      </c>
      <c r="G3" s="11" t="s">
        <v>1132</v>
      </c>
      <c r="H3" s="11" t="s">
        <v>1134</v>
      </c>
      <c r="I3" s="12" t="s">
        <v>28</v>
      </c>
      <c r="J3" s="12" t="s">
        <v>75</v>
      </c>
      <c r="K3" s="12">
        <v>15.0</v>
      </c>
      <c r="L3" s="15" t="s">
        <v>47</v>
      </c>
      <c r="M3" s="17"/>
      <c r="N3" s="17"/>
    </row>
    <row r="4" ht="14.25" customHeight="1">
      <c r="A4" s="19" t="s">
        <v>1151</v>
      </c>
      <c r="B4" s="21" t="s">
        <v>450</v>
      </c>
      <c r="C4" s="21" t="s">
        <v>931</v>
      </c>
      <c r="D4" s="19" t="s">
        <v>31</v>
      </c>
      <c r="E4" s="21" t="s">
        <v>1159</v>
      </c>
      <c r="F4" s="21" t="s">
        <v>1161</v>
      </c>
      <c r="G4" s="21" t="s">
        <v>934</v>
      </c>
      <c r="H4" s="21" t="s">
        <v>1164</v>
      </c>
      <c r="I4" s="19" t="s">
        <v>29</v>
      </c>
      <c r="J4" s="19" t="s">
        <v>197</v>
      </c>
      <c r="K4" s="19">
        <v>10.0</v>
      </c>
      <c r="L4" s="15" t="s">
        <v>47</v>
      </c>
      <c r="M4" s="17"/>
      <c r="N4" s="17"/>
    </row>
    <row r="5" ht="14.25" customHeight="1">
      <c r="A5" s="12" t="s">
        <v>1174</v>
      </c>
      <c r="B5" s="11" t="s">
        <v>450</v>
      </c>
      <c r="C5" s="11" t="s">
        <v>965</v>
      </c>
      <c r="D5" s="12" t="s">
        <v>31</v>
      </c>
      <c r="E5" s="11" t="s">
        <v>1159</v>
      </c>
      <c r="F5" s="11" t="s">
        <v>1178</v>
      </c>
      <c r="G5" s="11" t="s">
        <v>1179</v>
      </c>
      <c r="H5" s="11" t="s">
        <v>1180</v>
      </c>
      <c r="I5" s="12" t="s">
        <v>29</v>
      </c>
      <c r="J5" s="12" t="s">
        <v>75</v>
      </c>
      <c r="K5" s="12">
        <v>18.0</v>
      </c>
      <c r="L5" s="15" t="s">
        <v>47</v>
      </c>
      <c r="M5" s="17"/>
      <c r="N5" s="17"/>
    </row>
    <row r="6" ht="14.25" customHeight="1">
      <c r="A6" s="19" t="s">
        <v>1189</v>
      </c>
      <c r="B6" s="21" t="s">
        <v>450</v>
      </c>
      <c r="C6" s="21" t="s">
        <v>1190</v>
      </c>
      <c r="D6" s="19" t="s">
        <v>31</v>
      </c>
      <c r="E6" s="21" t="s">
        <v>1194</v>
      </c>
      <c r="F6" s="21" t="s">
        <v>1196</v>
      </c>
      <c r="G6" s="21" t="s">
        <v>1198</v>
      </c>
      <c r="H6" s="21" t="s">
        <v>1201</v>
      </c>
      <c r="I6" s="19" t="s">
        <v>28</v>
      </c>
      <c r="J6" s="19" t="s">
        <v>102</v>
      </c>
      <c r="K6" s="19">
        <v>25.0</v>
      </c>
      <c r="L6" s="15" t="s">
        <v>47</v>
      </c>
      <c r="M6" s="17"/>
      <c r="N6" s="17"/>
    </row>
    <row r="7" ht="14.25" customHeight="1">
      <c r="A7" s="12" t="s">
        <v>1211</v>
      </c>
      <c r="B7" s="11" t="s">
        <v>450</v>
      </c>
      <c r="C7" s="11" t="s">
        <v>1213</v>
      </c>
      <c r="D7" s="12" t="s">
        <v>31</v>
      </c>
      <c r="E7" s="11" t="s">
        <v>1216</v>
      </c>
      <c r="F7" s="11" t="s">
        <v>1219</v>
      </c>
      <c r="G7" s="11" t="s">
        <v>1221</v>
      </c>
      <c r="H7" s="11" t="s">
        <v>1224</v>
      </c>
      <c r="I7" s="12" t="s">
        <v>28</v>
      </c>
      <c r="J7" s="12" t="s">
        <v>75</v>
      </c>
      <c r="K7" s="12">
        <v>18.0</v>
      </c>
      <c r="L7" s="15" t="s">
        <v>47</v>
      </c>
      <c r="M7" s="17"/>
      <c r="N7" s="17"/>
    </row>
    <row r="8" ht="14.25" customHeight="1">
      <c r="A8" s="19" t="s">
        <v>1233</v>
      </c>
      <c r="B8" s="21" t="s">
        <v>450</v>
      </c>
      <c r="C8" s="21" t="s">
        <v>1213</v>
      </c>
      <c r="D8" s="19" t="s">
        <v>31</v>
      </c>
      <c r="E8" s="21" t="s">
        <v>1239</v>
      </c>
      <c r="F8" s="21" t="s">
        <v>1241</v>
      </c>
      <c r="G8" s="21" t="s">
        <v>1243</v>
      </c>
      <c r="H8" s="21" t="s">
        <v>1248</v>
      </c>
      <c r="I8" s="19" t="s">
        <v>28</v>
      </c>
      <c r="J8" s="19" t="s">
        <v>75</v>
      </c>
      <c r="K8" s="19">
        <v>30.0</v>
      </c>
      <c r="L8" s="15" t="s">
        <v>47</v>
      </c>
      <c r="M8" s="17"/>
      <c r="N8" s="17"/>
    </row>
    <row r="9" ht="14.25" customHeight="1">
      <c r="A9" s="12" t="s">
        <v>1258</v>
      </c>
      <c r="B9" s="11" t="s">
        <v>450</v>
      </c>
      <c r="C9" s="11" t="s">
        <v>1262</v>
      </c>
      <c r="D9" s="12" t="s">
        <v>31</v>
      </c>
      <c r="E9" s="11" t="s">
        <v>1216</v>
      </c>
      <c r="F9" s="11" t="s">
        <v>1265</v>
      </c>
      <c r="G9" s="11" t="s">
        <v>1268</v>
      </c>
      <c r="H9" s="11" t="s">
        <v>1269</v>
      </c>
      <c r="I9" s="12" t="s">
        <v>28</v>
      </c>
      <c r="J9" s="12" t="s">
        <v>75</v>
      </c>
      <c r="K9" s="12">
        <v>25.0</v>
      </c>
      <c r="L9" s="15" t="s">
        <v>47</v>
      </c>
      <c r="M9" s="17"/>
      <c r="N9" s="17"/>
    </row>
    <row r="10" ht="14.25" customHeight="1">
      <c r="A10" s="19" t="s">
        <v>1283</v>
      </c>
      <c r="B10" s="21" t="s">
        <v>450</v>
      </c>
      <c r="C10" s="21" t="s">
        <v>1262</v>
      </c>
      <c r="D10" s="19" t="s">
        <v>31</v>
      </c>
      <c r="E10" s="21" t="s">
        <v>1287</v>
      </c>
      <c r="F10" s="21" t="s">
        <v>1290</v>
      </c>
      <c r="G10" s="21" t="s">
        <v>1293</v>
      </c>
      <c r="H10" s="21" t="s">
        <v>1295</v>
      </c>
      <c r="I10" s="19" t="s">
        <v>28</v>
      </c>
      <c r="J10" s="19" t="s">
        <v>75</v>
      </c>
      <c r="K10" s="19">
        <v>30.0</v>
      </c>
      <c r="L10" s="15" t="s">
        <v>47</v>
      </c>
      <c r="M10" s="17"/>
      <c r="N10" s="17"/>
    </row>
    <row r="11" ht="14.25" customHeight="1">
      <c r="A11" s="12" t="s">
        <v>1301</v>
      </c>
      <c r="B11" s="11" t="s">
        <v>450</v>
      </c>
      <c r="C11" s="11" t="s">
        <v>1306</v>
      </c>
      <c r="D11" s="12" t="s">
        <v>31</v>
      </c>
      <c r="E11" s="11" t="s">
        <v>1309</v>
      </c>
      <c r="F11" s="11" t="s">
        <v>1310</v>
      </c>
      <c r="G11" s="11" t="s">
        <v>1312</v>
      </c>
      <c r="H11" s="11" t="s">
        <v>1313</v>
      </c>
      <c r="I11" s="12" t="s">
        <v>28</v>
      </c>
      <c r="J11" s="12" t="s">
        <v>114</v>
      </c>
      <c r="K11" s="12">
        <v>18.0</v>
      </c>
      <c r="L11" s="15" t="s">
        <v>47</v>
      </c>
      <c r="M11" s="17"/>
      <c r="N11" s="17"/>
    </row>
    <row r="12" ht="14.25" customHeight="1">
      <c r="A12" s="19" t="s">
        <v>1325</v>
      </c>
      <c r="B12" s="21" t="s">
        <v>450</v>
      </c>
      <c r="C12" s="21" t="s">
        <v>1306</v>
      </c>
      <c r="D12" s="19" t="s">
        <v>31</v>
      </c>
      <c r="E12" s="21" t="s">
        <v>1330</v>
      </c>
      <c r="F12" s="21" t="s">
        <v>1331</v>
      </c>
      <c r="G12" s="21" t="s">
        <v>1332</v>
      </c>
      <c r="H12" s="21" t="s">
        <v>1336</v>
      </c>
      <c r="I12" s="19" t="s">
        <v>28</v>
      </c>
      <c r="J12" s="19" t="s">
        <v>75</v>
      </c>
      <c r="K12" s="19">
        <v>25.0</v>
      </c>
      <c r="L12" s="15" t="s">
        <v>47</v>
      </c>
      <c r="M12" s="17"/>
      <c r="N12" s="17"/>
    </row>
    <row r="13" ht="14.25" customHeight="1">
      <c r="A13" s="12" t="s">
        <v>1346</v>
      </c>
      <c r="B13" s="11" t="s">
        <v>450</v>
      </c>
      <c r="C13" s="11" t="s">
        <v>1306</v>
      </c>
      <c r="D13" s="12" t="s">
        <v>31</v>
      </c>
      <c r="E13" s="11" t="s">
        <v>1353</v>
      </c>
      <c r="F13" s="11" t="s">
        <v>1360</v>
      </c>
      <c r="G13" s="11" t="s">
        <v>1363</v>
      </c>
      <c r="H13" s="11" t="s">
        <v>1365</v>
      </c>
      <c r="I13" s="12" t="s">
        <v>28</v>
      </c>
      <c r="J13" s="12" t="s">
        <v>352</v>
      </c>
      <c r="K13" s="12">
        <v>30.0</v>
      </c>
      <c r="L13" s="15" t="s">
        <v>47</v>
      </c>
      <c r="M13" s="17"/>
      <c r="N13" s="17"/>
    </row>
    <row r="14" ht="14.25" customHeight="1">
      <c r="A14" s="19" t="s">
        <v>1373</v>
      </c>
      <c r="B14" s="21" t="s">
        <v>450</v>
      </c>
      <c r="C14" s="21" t="s">
        <v>1306</v>
      </c>
      <c r="D14" s="19" t="s">
        <v>31</v>
      </c>
      <c r="E14" s="21" t="s">
        <v>1405</v>
      </c>
      <c r="F14" s="21" t="s">
        <v>1406</v>
      </c>
      <c r="G14" s="21" t="s">
        <v>1409</v>
      </c>
      <c r="H14" s="21" t="s">
        <v>1414</v>
      </c>
      <c r="I14" s="19" t="s">
        <v>29</v>
      </c>
      <c r="J14" s="19" t="s">
        <v>102</v>
      </c>
      <c r="K14" s="19">
        <v>30.0</v>
      </c>
      <c r="L14" s="15" t="s">
        <v>47</v>
      </c>
      <c r="M14" s="17"/>
      <c r="N14" s="17"/>
    </row>
    <row r="15" ht="14.25" customHeight="1">
      <c r="A15" s="12" t="s">
        <v>1437</v>
      </c>
      <c r="B15" s="11" t="s">
        <v>450</v>
      </c>
      <c r="C15" s="11" t="s">
        <v>1306</v>
      </c>
      <c r="D15" s="12" t="s">
        <v>31</v>
      </c>
      <c r="E15" s="11" t="s">
        <v>1446</v>
      </c>
      <c r="F15" s="11" t="s">
        <v>1448</v>
      </c>
      <c r="G15" s="11" t="s">
        <v>1450</v>
      </c>
      <c r="H15" s="11" t="s">
        <v>1454</v>
      </c>
      <c r="I15" s="12" t="s">
        <v>29</v>
      </c>
      <c r="J15" s="12" t="s">
        <v>102</v>
      </c>
      <c r="K15" s="12">
        <v>25.0</v>
      </c>
      <c r="L15" s="15" t="s">
        <v>47</v>
      </c>
      <c r="M15" s="17"/>
      <c r="N15" s="17"/>
    </row>
    <row r="16" ht="14.25" customHeight="1">
      <c r="A16" s="19" t="s">
        <v>1462</v>
      </c>
      <c r="B16" s="21" t="s">
        <v>450</v>
      </c>
      <c r="C16" s="21" t="s">
        <v>1306</v>
      </c>
      <c r="D16" s="19" t="s">
        <v>183</v>
      </c>
      <c r="E16" s="21" t="s">
        <v>1466</v>
      </c>
      <c r="F16" s="21" t="s">
        <v>1469</v>
      </c>
      <c r="G16" s="21" t="s">
        <v>1471</v>
      </c>
      <c r="H16" s="21" t="s">
        <v>1474</v>
      </c>
      <c r="I16" s="19" t="s">
        <v>28</v>
      </c>
      <c r="J16" s="19" t="s">
        <v>352</v>
      </c>
      <c r="K16" s="19">
        <v>25.0</v>
      </c>
      <c r="L16" s="15" t="s">
        <v>47</v>
      </c>
      <c r="M16" s="17"/>
      <c r="N16" s="17"/>
    </row>
    <row r="17" ht="14.25" customHeight="1">
      <c r="A17" s="12" t="s">
        <v>1480</v>
      </c>
      <c r="B17" s="11" t="s">
        <v>450</v>
      </c>
      <c r="C17" s="11" t="s">
        <v>1306</v>
      </c>
      <c r="D17" s="12" t="s">
        <v>183</v>
      </c>
      <c r="E17" s="11" t="s">
        <v>1487</v>
      </c>
      <c r="F17" s="11" t="s">
        <v>1489</v>
      </c>
      <c r="G17" s="11" t="s">
        <v>1493</v>
      </c>
      <c r="H17" s="11" t="s">
        <v>1495</v>
      </c>
      <c r="I17" s="12" t="s">
        <v>28</v>
      </c>
      <c r="J17" s="12" t="s">
        <v>352</v>
      </c>
      <c r="K17" s="12">
        <v>25.0</v>
      </c>
      <c r="L17" s="15" t="s">
        <v>47</v>
      </c>
      <c r="M17" s="17"/>
      <c r="N17" s="17"/>
    </row>
    <row r="18" ht="14.25" customHeight="1">
      <c r="A18" s="19" t="s">
        <v>1501</v>
      </c>
      <c r="B18" s="21" t="s">
        <v>450</v>
      </c>
      <c r="C18" s="21" t="s">
        <v>1506</v>
      </c>
      <c r="D18" s="19" t="s">
        <v>33</v>
      </c>
      <c r="E18" s="21" t="s">
        <v>169</v>
      </c>
      <c r="F18" s="21" t="s">
        <v>1510</v>
      </c>
      <c r="G18" s="21" t="s">
        <v>1511</v>
      </c>
      <c r="H18" s="21" t="s">
        <v>1512</v>
      </c>
      <c r="I18" s="19" t="s">
        <v>28</v>
      </c>
      <c r="J18" s="19" t="s">
        <v>197</v>
      </c>
      <c r="K18" s="19">
        <v>10.0</v>
      </c>
      <c r="L18" s="15" t="s">
        <v>47</v>
      </c>
      <c r="M18" s="17"/>
      <c r="N18" s="17"/>
    </row>
    <row r="19" ht="14.25" customHeight="1">
      <c r="A19" s="12" t="s">
        <v>1517</v>
      </c>
      <c r="B19" s="11" t="s">
        <v>450</v>
      </c>
      <c r="C19" s="11" t="s">
        <v>1522</v>
      </c>
      <c r="D19" s="12" t="s">
        <v>33</v>
      </c>
      <c r="E19" s="11" t="s">
        <v>1525</v>
      </c>
      <c r="F19" s="11" t="s">
        <v>1527</v>
      </c>
      <c r="G19" s="11" t="s">
        <v>1528</v>
      </c>
      <c r="H19" s="11" t="s">
        <v>1529</v>
      </c>
      <c r="I19" s="12" t="s">
        <v>28</v>
      </c>
      <c r="J19" s="12" t="s">
        <v>75</v>
      </c>
      <c r="K19" s="12">
        <v>12.0</v>
      </c>
      <c r="L19" s="15" t="s">
        <v>47</v>
      </c>
      <c r="M19" s="17"/>
      <c r="N19" s="17"/>
    </row>
    <row r="20" ht="14.25" customHeight="1">
      <c r="A20" s="19" t="s">
        <v>1538</v>
      </c>
      <c r="B20" s="21" t="s">
        <v>450</v>
      </c>
      <c r="C20" s="21" t="s">
        <v>1522</v>
      </c>
      <c r="D20" s="19" t="s">
        <v>33</v>
      </c>
      <c r="E20" s="21" t="s">
        <v>1540</v>
      </c>
      <c r="F20" s="21" t="s">
        <v>1542</v>
      </c>
      <c r="G20" s="21" t="s">
        <v>1543</v>
      </c>
      <c r="H20" s="21" t="s">
        <v>1544</v>
      </c>
      <c r="I20" s="19" t="s">
        <v>28</v>
      </c>
      <c r="J20" s="19" t="s">
        <v>75</v>
      </c>
      <c r="K20" s="19">
        <v>15.0</v>
      </c>
      <c r="L20" s="15" t="s">
        <v>47</v>
      </c>
      <c r="M20" s="17"/>
      <c r="N20" s="17"/>
    </row>
    <row r="21" ht="14.25" customHeight="1">
      <c r="A21" s="12" t="s">
        <v>1556</v>
      </c>
      <c r="B21" s="11" t="s">
        <v>450</v>
      </c>
      <c r="C21" s="11" t="s">
        <v>1522</v>
      </c>
      <c r="D21" s="12" t="s">
        <v>33</v>
      </c>
      <c r="E21" s="11" t="s">
        <v>1561</v>
      </c>
      <c r="F21" s="11" t="s">
        <v>1563</v>
      </c>
      <c r="G21" s="11" t="s">
        <v>1565</v>
      </c>
      <c r="H21" s="11" t="s">
        <v>1567</v>
      </c>
      <c r="I21" s="12" t="s">
        <v>28</v>
      </c>
      <c r="J21" s="12" t="s">
        <v>75</v>
      </c>
      <c r="K21" s="12">
        <v>18.0</v>
      </c>
      <c r="L21" s="15" t="s">
        <v>47</v>
      </c>
      <c r="M21" s="17"/>
      <c r="N21" s="17"/>
    </row>
    <row r="22" ht="14.25" customHeight="1">
      <c r="A22" s="19" t="s">
        <v>1568</v>
      </c>
      <c r="B22" s="21" t="s">
        <v>450</v>
      </c>
      <c r="C22" s="21" t="s">
        <v>1522</v>
      </c>
      <c r="D22" s="19" t="s">
        <v>33</v>
      </c>
      <c r="E22" s="21" t="s">
        <v>1569</v>
      </c>
      <c r="F22" s="21" t="s">
        <v>1570</v>
      </c>
      <c r="G22" s="21" t="s">
        <v>1571</v>
      </c>
      <c r="H22" s="21" t="s">
        <v>1572</v>
      </c>
      <c r="I22" s="19" t="s">
        <v>28</v>
      </c>
      <c r="J22" s="19" t="s">
        <v>75</v>
      </c>
      <c r="K22" s="19">
        <v>20.0</v>
      </c>
      <c r="L22" s="15" t="s">
        <v>47</v>
      </c>
      <c r="M22" s="17"/>
      <c r="N22" s="17"/>
    </row>
    <row r="23" ht="14.25" customHeight="1">
      <c r="A23" s="12" t="s">
        <v>1573</v>
      </c>
      <c r="B23" s="11" t="s">
        <v>450</v>
      </c>
      <c r="C23" s="11" t="s">
        <v>1522</v>
      </c>
      <c r="D23" s="12" t="s">
        <v>33</v>
      </c>
      <c r="E23" s="11" t="s">
        <v>1540</v>
      </c>
      <c r="F23" s="11" t="s">
        <v>1574</v>
      </c>
      <c r="G23" s="11" t="s">
        <v>1575</v>
      </c>
      <c r="H23" s="11" t="s">
        <v>1576</v>
      </c>
      <c r="I23" s="12" t="s">
        <v>28</v>
      </c>
      <c r="J23" s="12" t="s">
        <v>75</v>
      </c>
      <c r="K23" s="12">
        <v>12.0</v>
      </c>
      <c r="L23" s="15" t="s">
        <v>47</v>
      </c>
      <c r="M23" s="17"/>
      <c r="N23" s="17"/>
    </row>
    <row r="24" ht="14.25" customHeight="1">
      <c r="A24" s="19" t="s">
        <v>1579</v>
      </c>
      <c r="B24" s="21" t="s">
        <v>450</v>
      </c>
      <c r="C24" s="21" t="s">
        <v>1522</v>
      </c>
      <c r="D24" s="19" t="s">
        <v>33</v>
      </c>
      <c r="E24" s="21" t="s">
        <v>1540</v>
      </c>
      <c r="F24" s="21" t="s">
        <v>1582</v>
      </c>
      <c r="G24" s="21" t="s">
        <v>1583</v>
      </c>
      <c r="H24" s="21" t="s">
        <v>1585</v>
      </c>
      <c r="I24" s="19" t="s">
        <v>28</v>
      </c>
      <c r="J24" s="19" t="s">
        <v>75</v>
      </c>
      <c r="K24" s="19">
        <v>25.0</v>
      </c>
      <c r="L24" s="15" t="s">
        <v>47</v>
      </c>
      <c r="M24" s="17"/>
      <c r="N24" s="17"/>
    </row>
    <row r="25" ht="14.25" customHeight="1">
      <c r="A25" s="12" t="s">
        <v>1591</v>
      </c>
      <c r="B25" s="11" t="s">
        <v>450</v>
      </c>
      <c r="C25" s="11" t="s">
        <v>1522</v>
      </c>
      <c r="D25" s="12" t="s">
        <v>33</v>
      </c>
      <c r="E25" s="11" t="s">
        <v>1540</v>
      </c>
      <c r="F25" s="11" t="s">
        <v>1593</v>
      </c>
      <c r="G25" s="11" t="s">
        <v>1594</v>
      </c>
      <c r="H25" s="11" t="s">
        <v>1596</v>
      </c>
      <c r="I25" s="12" t="s">
        <v>29</v>
      </c>
      <c r="J25" s="12" t="s">
        <v>75</v>
      </c>
      <c r="K25" s="12">
        <v>12.0</v>
      </c>
      <c r="L25" s="15" t="s">
        <v>47</v>
      </c>
      <c r="M25" s="17"/>
      <c r="N25" s="17"/>
    </row>
    <row r="26" ht="14.25" customHeight="1">
      <c r="A26" s="19" t="s">
        <v>1602</v>
      </c>
      <c r="B26" s="21" t="s">
        <v>450</v>
      </c>
      <c r="C26" s="21" t="s">
        <v>1522</v>
      </c>
      <c r="D26" s="19" t="s">
        <v>33</v>
      </c>
      <c r="E26" s="21" t="s">
        <v>1606</v>
      </c>
      <c r="F26" s="21" t="s">
        <v>1608</v>
      </c>
      <c r="G26" s="21" t="s">
        <v>1609</v>
      </c>
      <c r="H26" s="21" t="s">
        <v>1610</v>
      </c>
      <c r="I26" s="19" t="s">
        <v>28</v>
      </c>
      <c r="J26" s="19" t="s">
        <v>75</v>
      </c>
      <c r="K26" s="19">
        <v>15.0</v>
      </c>
      <c r="L26" s="15" t="s">
        <v>47</v>
      </c>
      <c r="M26" s="17"/>
      <c r="N26" s="17"/>
    </row>
    <row r="27" ht="14.25" customHeight="1">
      <c r="A27" s="12" t="s">
        <v>1619</v>
      </c>
      <c r="B27" s="11" t="s">
        <v>450</v>
      </c>
      <c r="C27" s="11" t="s">
        <v>1522</v>
      </c>
      <c r="D27" s="12" t="s">
        <v>33</v>
      </c>
      <c r="E27" s="11" t="s">
        <v>1622</v>
      </c>
      <c r="F27" s="11" t="s">
        <v>1623</v>
      </c>
      <c r="G27" s="11" t="s">
        <v>1624</v>
      </c>
      <c r="H27" s="11" t="s">
        <v>1627</v>
      </c>
      <c r="I27" s="12" t="s">
        <v>28</v>
      </c>
      <c r="J27" s="12" t="s">
        <v>75</v>
      </c>
      <c r="K27" s="12">
        <v>18.0</v>
      </c>
      <c r="L27" s="15" t="s">
        <v>47</v>
      </c>
      <c r="M27" s="17"/>
      <c r="N27" s="17"/>
    </row>
    <row r="28" ht="14.25" customHeight="1">
      <c r="A28" s="19" t="s">
        <v>1635</v>
      </c>
      <c r="B28" s="21" t="s">
        <v>450</v>
      </c>
      <c r="C28" s="21" t="s">
        <v>1522</v>
      </c>
      <c r="D28" s="19" t="s">
        <v>33</v>
      </c>
      <c r="E28" s="21" t="s">
        <v>1540</v>
      </c>
      <c r="F28" s="21" t="s">
        <v>1637</v>
      </c>
      <c r="G28" s="21" t="s">
        <v>1638</v>
      </c>
      <c r="H28" s="21" t="s">
        <v>1639</v>
      </c>
      <c r="I28" s="19" t="s">
        <v>29</v>
      </c>
      <c r="J28" s="19" t="s">
        <v>75</v>
      </c>
      <c r="K28" s="19">
        <v>12.0</v>
      </c>
      <c r="L28" s="15" t="s">
        <v>47</v>
      </c>
      <c r="M28" s="17"/>
      <c r="N28" s="17"/>
    </row>
    <row r="29" ht="14.25" customHeight="1">
      <c r="A29" s="12" t="s">
        <v>1643</v>
      </c>
      <c r="B29" s="11" t="s">
        <v>450</v>
      </c>
      <c r="C29" s="11" t="s">
        <v>1646</v>
      </c>
      <c r="D29" s="12" t="s">
        <v>33</v>
      </c>
      <c r="E29" s="11" t="s">
        <v>1648</v>
      </c>
      <c r="F29" s="11" t="s">
        <v>1649</v>
      </c>
      <c r="G29" s="11" t="s">
        <v>1650</v>
      </c>
      <c r="H29" s="11" t="s">
        <v>1651</v>
      </c>
      <c r="I29" s="12" t="s">
        <v>28</v>
      </c>
      <c r="J29" s="12" t="s">
        <v>75</v>
      </c>
      <c r="K29" s="12">
        <v>20.0</v>
      </c>
      <c r="L29" s="15" t="s">
        <v>47</v>
      </c>
      <c r="M29" s="17"/>
      <c r="N29" s="17"/>
    </row>
    <row r="30" ht="14.25" customHeight="1">
      <c r="A30" s="19" t="s">
        <v>1657</v>
      </c>
      <c r="B30" s="21" t="s">
        <v>450</v>
      </c>
      <c r="C30" s="21" t="s">
        <v>1646</v>
      </c>
      <c r="D30" s="19" t="s">
        <v>33</v>
      </c>
      <c r="E30" s="21" t="s">
        <v>1648</v>
      </c>
      <c r="F30" s="21" t="s">
        <v>1659</v>
      </c>
      <c r="G30" s="21" t="s">
        <v>1660</v>
      </c>
      <c r="H30" s="21" t="s">
        <v>1662</v>
      </c>
      <c r="I30" s="19" t="s">
        <v>28</v>
      </c>
      <c r="J30" s="19" t="s">
        <v>75</v>
      </c>
      <c r="K30" s="19">
        <v>25.0</v>
      </c>
      <c r="L30" s="15" t="s">
        <v>47</v>
      </c>
      <c r="M30" s="17"/>
      <c r="N30" s="17"/>
    </row>
    <row r="31" ht="14.25" customHeight="1">
      <c r="A31" s="12" t="s">
        <v>1666</v>
      </c>
      <c r="B31" s="11" t="s">
        <v>450</v>
      </c>
      <c r="C31" s="11" t="s">
        <v>1646</v>
      </c>
      <c r="D31" s="12" t="s">
        <v>33</v>
      </c>
      <c r="E31" s="11" t="s">
        <v>1668</v>
      </c>
      <c r="F31" s="11" t="s">
        <v>1669</v>
      </c>
      <c r="G31" s="11" t="s">
        <v>1670</v>
      </c>
      <c r="H31" s="11" t="s">
        <v>1671</v>
      </c>
      <c r="I31" s="12" t="s">
        <v>28</v>
      </c>
      <c r="J31" s="12" t="s">
        <v>75</v>
      </c>
      <c r="K31" s="12">
        <v>18.0</v>
      </c>
      <c r="L31" s="15" t="s">
        <v>47</v>
      </c>
      <c r="M31" s="17"/>
      <c r="N31" s="17"/>
    </row>
    <row r="32" ht="14.25" customHeight="1">
      <c r="A32" s="19" t="s">
        <v>1673</v>
      </c>
      <c r="B32" s="21" t="s">
        <v>450</v>
      </c>
      <c r="C32" s="21" t="s">
        <v>1646</v>
      </c>
      <c r="D32" s="19" t="s">
        <v>33</v>
      </c>
      <c r="E32" s="21" t="s">
        <v>1677</v>
      </c>
      <c r="F32" s="21" t="s">
        <v>1679</v>
      </c>
      <c r="G32" s="21" t="s">
        <v>1680</v>
      </c>
      <c r="H32" s="21" t="s">
        <v>1681</v>
      </c>
      <c r="I32" s="19" t="s">
        <v>29</v>
      </c>
      <c r="J32" s="19" t="s">
        <v>75</v>
      </c>
      <c r="K32" s="19">
        <v>20.0</v>
      </c>
      <c r="L32" s="15" t="s">
        <v>47</v>
      </c>
      <c r="M32" s="17"/>
      <c r="N32" s="17"/>
    </row>
    <row r="33" ht="14.25" customHeight="1">
      <c r="A33" s="12" t="s">
        <v>1683</v>
      </c>
      <c r="B33" s="11" t="s">
        <v>450</v>
      </c>
      <c r="C33" s="11" t="s">
        <v>1646</v>
      </c>
      <c r="D33" s="12" t="s">
        <v>33</v>
      </c>
      <c r="E33" s="11" t="s">
        <v>1687</v>
      </c>
      <c r="F33" s="11" t="s">
        <v>1689</v>
      </c>
      <c r="G33" s="11" t="s">
        <v>1691</v>
      </c>
      <c r="H33" s="11" t="s">
        <v>1692</v>
      </c>
      <c r="I33" s="12" t="s">
        <v>29</v>
      </c>
      <c r="J33" s="12" t="s">
        <v>75</v>
      </c>
      <c r="K33" s="12">
        <v>18.0</v>
      </c>
      <c r="L33" s="15" t="s">
        <v>47</v>
      </c>
      <c r="M33" s="17"/>
      <c r="N33" s="17"/>
    </row>
    <row r="34" ht="14.25" customHeight="1">
      <c r="A34" s="19" t="s">
        <v>1695</v>
      </c>
      <c r="B34" s="21" t="s">
        <v>450</v>
      </c>
      <c r="C34" s="21" t="s">
        <v>1646</v>
      </c>
      <c r="D34" s="19" t="s">
        <v>33</v>
      </c>
      <c r="E34" s="21" t="s">
        <v>1540</v>
      </c>
      <c r="F34" s="21" t="s">
        <v>1699</v>
      </c>
      <c r="G34" s="21" t="s">
        <v>1700</v>
      </c>
      <c r="H34" s="21" t="s">
        <v>1701</v>
      </c>
      <c r="I34" s="19" t="s">
        <v>28</v>
      </c>
      <c r="J34" s="19" t="s">
        <v>75</v>
      </c>
      <c r="K34" s="19">
        <v>30.0</v>
      </c>
      <c r="L34" s="15" t="s">
        <v>47</v>
      </c>
      <c r="M34" s="17"/>
      <c r="N34" s="17"/>
    </row>
    <row r="35" ht="14.25" customHeight="1">
      <c r="A35" s="12" t="s">
        <v>1706</v>
      </c>
      <c r="B35" s="11" t="s">
        <v>450</v>
      </c>
      <c r="C35" s="11" t="s">
        <v>1708</v>
      </c>
      <c r="D35" s="12" t="s">
        <v>33</v>
      </c>
      <c r="E35" s="11" t="s">
        <v>1709</v>
      </c>
      <c r="F35" s="11" t="s">
        <v>1710</v>
      </c>
      <c r="G35" s="11" t="s">
        <v>1711</v>
      </c>
      <c r="H35" s="11" t="s">
        <v>1713</v>
      </c>
      <c r="I35" s="12" t="s">
        <v>28</v>
      </c>
      <c r="J35" s="12" t="s">
        <v>75</v>
      </c>
      <c r="K35" s="12">
        <v>20.0</v>
      </c>
      <c r="L35" s="15" t="s">
        <v>47</v>
      </c>
      <c r="M35" s="17"/>
      <c r="N35" s="17"/>
    </row>
    <row r="36" ht="14.25" customHeight="1">
      <c r="A36" s="19" t="s">
        <v>1718</v>
      </c>
      <c r="B36" s="21" t="s">
        <v>450</v>
      </c>
      <c r="C36" s="21" t="s">
        <v>1708</v>
      </c>
      <c r="D36" s="19" t="s">
        <v>33</v>
      </c>
      <c r="E36" s="21" t="s">
        <v>1719</v>
      </c>
      <c r="F36" s="21" t="s">
        <v>1720</v>
      </c>
      <c r="G36" s="21" t="s">
        <v>1722</v>
      </c>
      <c r="H36" s="21" t="s">
        <v>1723</v>
      </c>
      <c r="I36" s="19" t="s">
        <v>28</v>
      </c>
      <c r="J36" s="19" t="s">
        <v>103</v>
      </c>
      <c r="K36" s="19">
        <v>15.0</v>
      </c>
      <c r="L36" s="15" t="s">
        <v>47</v>
      </c>
      <c r="M36" s="17"/>
      <c r="N36" s="17"/>
    </row>
    <row r="37" ht="14.25" customHeight="1">
      <c r="A37" s="12" t="s">
        <v>1728</v>
      </c>
      <c r="B37" s="11" t="s">
        <v>450</v>
      </c>
      <c r="C37" s="11" t="s">
        <v>1729</v>
      </c>
      <c r="D37" s="12" t="s">
        <v>183</v>
      </c>
      <c r="E37" s="11" t="s">
        <v>1731</v>
      </c>
      <c r="F37" s="11" t="s">
        <v>1732</v>
      </c>
      <c r="G37" s="11" t="s">
        <v>1733</v>
      </c>
      <c r="H37" s="11" t="s">
        <v>1735</v>
      </c>
      <c r="I37" s="12" t="s">
        <v>28</v>
      </c>
      <c r="J37" s="12" t="s">
        <v>352</v>
      </c>
      <c r="K37" s="12">
        <v>30.0</v>
      </c>
      <c r="L37" s="15" t="s">
        <v>47</v>
      </c>
      <c r="M37" s="17"/>
      <c r="N37" s="17"/>
    </row>
    <row r="38" ht="14.25" customHeight="1">
      <c r="A38" s="19" t="s">
        <v>1739</v>
      </c>
      <c r="B38" s="21" t="s">
        <v>450</v>
      </c>
      <c r="C38" s="21" t="s">
        <v>1729</v>
      </c>
      <c r="D38" s="19" t="s">
        <v>33</v>
      </c>
      <c r="E38" s="21" t="s">
        <v>1532</v>
      </c>
      <c r="F38" s="21" t="s">
        <v>1742</v>
      </c>
      <c r="G38" s="21" t="s">
        <v>1743</v>
      </c>
      <c r="H38" s="21" t="s">
        <v>1745</v>
      </c>
      <c r="I38" s="19" t="s">
        <v>28</v>
      </c>
      <c r="J38" s="19" t="s">
        <v>352</v>
      </c>
      <c r="K38" s="19">
        <v>40.0</v>
      </c>
      <c r="L38" s="15" t="s">
        <v>47</v>
      </c>
      <c r="M38" s="17"/>
      <c r="N38" s="17"/>
    </row>
    <row r="39" ht="14.25" customHeight="1">
      <c r="A39" s="12" t="s">
        <v>1748</v>
      </c>
      <c r="B39" s="11" t="s">
        <v>450</v>
      </c>
      <c r="C39" s="11" t="s">
        <v>103</v>
      </c>
      <c r="D39" s="12" t="s">
        <v>33</v>
      </c>
      <c r="E39" s="11" t="s">
        <v>679</v>
      </c>
      <c r="F39" s="11" t="s">
        <v>1750</v>
      </c>
      <c r="G39" s="11" t="s">
        <v>1751</v>
      </c>
      <c r="H39" s="11" t="s">
        <v>1753</v>
      </c>
      <c r="I39" s="12" t="s">
        <v>28</v>
      </c>
      <c r="J39" s="12" t="s">
        <v>103</v>
      </c>
      <c r="K39" s="12">
        <v>25.0</v>
      </c>
      <c r="L39" s="15" t="s">
        <v>47</v>
      </c>
      <c r="M39" s="17"/>
      <c r="N39" s="17"/>
    </row>
    <row r="40" ht="14.25" customHeight="1">
      <c r="A40" s="19" t="s">
        <v>1757</v>
      </c>
      <c r="B40" s="21" t="s">
        <v>450</v>
      </c>
      <c r="C40" s="21" t="s">
        <v>103</v>
      </c>
      <c r="D40" s="19" t="s">
        <v>33</v>
      </c>
      <c r="E40" s="21" t="s">
        <v>1540</v>
      </c>
      <c r="F40" s="21" t="s">
        <v>1759</v>
      </c>
      <c r="G40" s="21" t="s">
        <v>1760</v>
      </c>
      <c r="H40" s="21" t="s">
        <v>1761</v>
      </c>
      <c r="I40" s="19" t="s">
        <v>29</v>
      </c>
      <c r="J40" s="19" t="s">
        <v>103</v>
      </c>
      <c r="K40" s="19">
        <v>20.0</v>
      </c>
      <c r="L40" s="15" t="s">
        <v>47</v>
      </c>
      <c r="M40" s="17"/>
      <c r="N40" s="17"/>
    </row>
    <row r="41" ht="14.25" customHeight="1">
      <c r="A41" s="12" t="s">
        <v>1766</v>
      </c>
      <c r="B41" s="11" t="s">
        <v>450</v>
      </c>
      <c r="C41" s="11" t="s">
        <v>1767</v>
      </c>
      <c r="D41" s="12" t="s">
        <v>183</v>
      </c>
      <c r="E41" s="11" t="s">
        <v>1768</v>
      </c>
      <c r="F41" s="11" t="s">
        <v>1769</v>
      </c>
      <c r="G41" s="11" t="s">
        <v>1770</v>
      </c>
      <c r="H41" s="11" t="s">
        <v>1771</v>
      </c>
      <c r="I41" s="12" t="s">
        <v>28</v>
      </c>
      <c r="J41" s="12" t="s">
        <v>114</v>
      </c>
      <c r="K41" s="12">
        <v>30.0</v>
      </c>
      <c r="L41" s="15" t="s">
        <v>47</v>
      </c>
      <c r="M41" s="17"/>
      <c r="N41" s="17"/>
    </row>
    <row r="42" ht="14.25" customHeight="1"/>
    <row r="43" ht="14.25" customHeight="1">
      <c r="J43" s="3" t="s">
        <v>789</v>
      </c>
      <c r="K43" s="27">
        <f>SUM(K3:K41)</f>
        <v>829</v>
      </c>
    </row>
    <row r="44" ht="14.25" customHeight="1">
      <c r="J44" s="3" t="s">
        <v>808</v>
      </c>
      <c r="K44" s="28">
        <f>K43/60</f>
        <v>13.81666667</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41"/>
  <mergeCells count="1">
    <mergeCell ref="A1:N1"/>
  </mergeCells>
  <conditionalFormatting sqref="L3:L41">
    <cfRule type="cellIs" dxfId="0" priority="1" operator="equal">
      <formula>"Pass"</formula>
    </cfRule>
  </conditionalFormatting>
  <conditionalFormatting sqref="L3:L41">
    <cfRule type="cellIs" dxfId="1" priority="2" operator="equal">
      <formula>"Fail"</formula>
    </cfRule>
  </conditionalFormatting>
  <conditionalFormatting sqref="L3:L41">
    <cfRule type="cellIs" dxfId="2" priority="3" operator="equal">
      <formula>"Blocked"</formula>
    </cfRule>
  </conditionalFormatting>
  <dataValidations>
    <dataValidation type="list" allowBlank="1" sqref="L3:L41">
      <formula1>"Not Run,Pass,Fail,Blocked,N-A"</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1168</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1197</v>
      </c>
      <c r="B3" s="11" t="s">
        <v>515</v>
      </c>
      <c r="C3" s="11" t="s">
        <v>926</v>
      </c>
      <c r="D3" s="12" t="s">
        <v>31</v>
      </c>
      <c r="E3" s="11" t="s">
        <v>942</v>
      </c>
      <c r="F3" s="11" t="s">
        <v>1205</v>
      </c>
      <c r="G3" s="11" t="s">
        <v>1206</v>
      </c>
      <c r="H3" s="11" t="s">
        <v>1207</v>
      </c>
      <c r="I3" s="12" t="s">
        <v>28</v>
      </c>
      <c r="J3" s="12" t="s">
        <v>75</v>
      </c>
      <c r="K3" s="12">
        <v>10.0</v>
      </c>
      <c r="L3" s="15" t="s">
        <v>47</v>
      </c>
      <c r="M3" s="17"/>
      <c r="N3" s="17"/>
    </row>
    <row r="4" ht="14.25" customHeight="1">
      <c r="A4" s="19" t="s">
        <v>1223</v>
      </c>
      <c r="B4" s="21" t="s">
        <v>515</v>
      </c>
      <c r="C4" s="21" t="s">
        <v>931</v>
      </c>
      <c r="D4" s="19" t="s">
        <v>31</v>
      </c>
      <c r="E4" s="21" t="s">
        <v>1226</v>
      </c>
      <c r="F4" s="21" t="s">
        <v>1229</v>
      </c>
      <c r="G4" s="21" t="s">
        <v>1231</v>
      </c>
      <c r="H4" s="21" t="s">
        <v>1232</v>
      </c>
      <c r="I4" s="19" t="s">
        <v>29</v>
      </c>
      <c r="J4" s="19" t="s">
        <v>197</v>
      </c>
      <c r="K4" s="19">
        <v>10.0</v>
      </c>
      <c r="L4" s="15" t="s">
        <v>47</v>
      </c>
      <c r="M4" s="17"/>
      <c r="N4" s="17"/>
    </row>
    <row r="5" ht="14.25" customHeight="1">
      <c r="A5" s="12" t="s">
        <v>1240</v>
      </c>
      <c r="B5" s="11" t="s">
        <v>515</v>
      </c>
      <c r="C5" s="11" t="s">
        <v>971</v>
      </c>
      <c r="D5" s="12" t="s">
        <v>31</v>
      </c>
      <c r="E5" s="11" t="s">
        <v>1245</v>
      </c>
      <c r="F5" s="11" t="s">
        <v>1246</v>
      </c>
      <c r="G5" s="11" t="s">
        <v>1249</v>
      </c>
      <c r="H5" s="11" t="s">
        <v>1252</v>
      </c>
      <c r="I5" s="12" t="s">
        <v>28</v>
      </c>
      <c r="J5" s="12" t="s">
        <v>75</v>
      </c>
      <c r="K5" s="12">
        <v>30.0</v>
      </c>
      <c r="L5" s="15" t="s">
        <v>47</v>
      </c>
      <c r="M5" s="17"/>
      <c r="N5" s="17"/>
    </row>
    <row r="6" ht="14.25" customHeight="1">
      <c r="A6" s="19" t="s">
        <v>1256</v>
      </c>
      <c r="B6" s="21" t="s">
        <v>515</v>
      </c>
      <c r="C6" s="21" t="s">
        <v>971</v>
      </c>
      <c r="D6" s="19" t="s">
        <v>31</v>
      </c>
      <c r="E6" s="21" t="s">
        <v>1260</v>
      </c>
      <c r="F6" s="21" t="s">
        <v>1261</v>
      </c>
      <c r="G6" s="21" t="s">
        <v>1263</v>
      </c>
      <c r="H6" s="21" t="s">
        <v>1264</v>
      </c>
      <c r="I6" s="19" t="s">
        <v>28</v>
      </c>
      <c r="J6" s="19" t="s">
        <v>103</v>
      </c>
      <c r="K6" s="19">
        <v>20.0</v>
      </c>
      <c r="L6" s="15" t="s">
        <v>47</v>
      </c>
      <c r="M6" s="17"/>
      <c r="N6" s="17"/>
    </row>
    <row r="7" ht="14.25" customHeight="1">
      <c r="A7" s="12" t="s">
        <v>1271</v>
      </c>
      <c r="B7" s="11" t="s">
        <v>515</v>
      </c>
      <c r="C7" s="11" t="s">
        <v>1048</v>
      </c>
      <c r="D7" s="12" t="s">
        <v>183</v>
      </c>
      <c r="E7" s="11" t="s">
        <v>1277</v>
      </c>
      <c r="F7" s="11" t="s">
        <v>1278</v>
      </c>
      <c r="G7" s="11" t="s">
        <v>1280</v>
      </c>
      <c r="H7" s="11" t="s">
        <v>1281</v>
      </c>
      <c r="I7" s="12" t="s">
        <v>28</v>
      </c>
      <c r="J7" s="12" t="s">
        <v>352</v>
      </c>
      <c r="K7" s="12">
        <v>25.0</v>
      </c>
      <c r="L7" s="15" t="s">
        <v>47</v>
      </c>
      <c r="M7" s="17"/>
      <c r="N7" s="17"/>
    </row>
    <row r="8" ht="14.25" customHeight="1">
      <c r="A8" s="19" t="s">
        <v>1284</v>
      </c>
      <c r="B8" s="21" t="s">
        <v>515</v>
      </c>
      <c r="C8" s="21" t="s">
        <v>1059</v>
      </c>
      <c r="D8" s="19" t="s">
        <v>33</v>
      </c>
      <c r="E8" s="21" t="s">
        <v>1289</v>
      </c>
      <c r="F8" s="21" t="s">
        <v>1291</v>
      </c>
      <c r="G8" s="21" t="s">
        <v>1294</v>
      </c>
      <c r="H8" s="21" t="s">
        <v>1296</v>
      </c>
      <c r="I8" s="19" t="s">
        <v>28</v>
      </c>
      <c r="J8" s="19" t="s">
        <v>75</v>
      </c>
      <c r="K8" s="19">
        <v>25.0</v>
      </c>
      <c r="L8" s="15" t="s">
        <v>47</v>
      </c>
      <c r="M8" s="17"/>
      <c r="N8" s="17"/>
    </row>
    <row r="9" ht="14.25" customHeight="1">
      <c r="A9" s="12" t="s">
        <v>1298</v>
      </c>
      <c r="B9" s="11" t="s">
        <v>515</v>
      </c>
      <c r="C9" s="11" t="s">
        <v>1059</v>
      </c>
      <c r="D9" s="12" t="s">
        <v>33</v>
      </c>
      <c r="E9" s="11" t="s">
        <v>1299</v>
      </c>
      <c r="F9" s="11" t="s">
        <v>1300</v>
      </c>
      <c r="G9" s="11" t="s">
        <v>1302</v>
      </c>
      <c r="H9" s="11" t="s">
        <v>1304</v>
      </c>
      <c r="I9" s="12" t="s">
        <v>28</v>
      </c>
      <c r="J9" s="12" t="s">
        <v>75</v>
      </c>
      <c r="K9" s="12">
        <v>30.0</v>
      </c>
      <c r="L9" s="15" t="s">
        <v>47</v>
      </c>
      <c r="M9" s="17"/>
      <c r="N9" s="17"/>
    </row>
    <row r="10" ht="14.25" customHeight="1">
      <c r="A10" s="19" t="s">
        <v>1311</v>
      </c>
      <c r="B10" s="21" t="s">
        <v>515</v>
      </c>
      <c r="C10" s="21" t="s">
        <v>1059</v>
      </c>
      <c r="D10" s="19" t="s">
        <v>33</v>
      </c>
      <c r="E10" s="21" t="s">
        <v>1317</v>
      </c>
      <c r="F10" s="21" t="s">
        <v>1318</v>
      </c>
      <c r="G10" s="21" t="s">
        <v>1321</v>
      </c>
      <c r="H10" s="21" t="s">
        <v>1324</v>
      </c>
      <c r="I10" s="19" t="s">
        <v>28</v>
      </c>
      <c r="J10" s="19" t="s">
        <v>75</v>
      </c>
      <c r="K10" s="19">
        <v>25.0</v>
      </c>
      <c r="L10" s="15" t="s">
        <v>47</v>
      </c>
      <c r="M10" s="17"/>
      <c r="N10" s="17"/>
    </row>
    <row r="11" ht="14.25" customHeight="1">
      <c r="A11" s="12" t="s">
        <v>1329</v>
      </c>
      <c r="B11" s="11" t="s">
        <v>515</v>
      </c>
      <c r="C11" s="11" t="s">
        <v>1059</v>
      </c>
      <c r="D11" s="12" t="s">
        <v>33</v>
      </c>
      <c r="E11" s="11" t="s">
        <v>1299</v>
      </c>
      <c r="F11" s="11" t="s">
        <v>1335</v>
      </c>
      <c r="G11" s="11" t="s">
        <v>1337</v>
      </c>
      <c r="H11" s="11" t="s">
        <v>1338</v>
      </c>
      <c r="I11" s="12" t="s">
        <v>28</v>
      </c>
      <c r="J11" s="12" t="s">
        <v>75</v>
      </c>
      <c r="K11" s="12">
        <v>25.0</v>
      </c>
      <c r="L11" s="15" t="s">
        <v>47</v>
      </c>
      <c r="M11" s="17"/>
      <c r="N11" s="17"/>
    </row>
    <row r="12" ht="14.25" customHeight="1">
      <c r="A12" s="19" t="s">
        <v>1347</v>
      </c>
      <c r="B12" s="21" t="s">
        <v>515</v>
      </c>
      <c r="C12" s="21" t="s">
        <v>1059</v>
      </c>
      <c r="D12" s="19" t="s">
        <v>33</v>
      </c>
      <c r="E12" s="21" t="s">
        <v>1350</v>
      </c>
      <c r="F12" s="21" t="s">
        <v>1351</v>
      </c>
      <c r="G12" s="21" t="s">
        <v>1354</v>
      </c>
      <c r="H12" s="21" t="s">
        <v>1355</v>
      </c>
      <c r="I12" s="19" t="s">
        <v>28</v>
      </c>
      <c r="J12" s="19" t="s">
        <v>75</v>
      </c>
      <c r="K12" s="19">
        <v>25.0</v>
      </c>
      <c r="L12" s="15" t="s">
        <v>47</v>
      </c>
      <c r="M12" s="17"/>
      <c r="N12" s="17"/>
    </row>
    <row r="13" ht="14.25" customHeight="1">
      <c r="A13" s="12" t="s">
        <v>1366</v>
      </c>
      <c r="B13" s="11" t="s">
        <v>515</v>
      </c>
      <c r="C13" s="11" t="s">
        <v>1059</v>
      </c>
      <c r="D13" s="12" t="s">
        <v>33</v>
      </c>
      <c r="E13" s="11" t="s">
        <v>1369</v>
      </c>
      <c r="F13" s="11" t="s">
        <v>1370</v>
      </c>
      <c r="G13" s="11" t="s">
        <v>1372</v>
      </c>
      <c r="H13" s="11" t="s">
        <v>1376</v>
      </c>
      <c r="I13" s="12" t="s">
        <v>29</v>
      </c>
      <c r="J13" s="12" t="s">
        <v>114</v>
      </c>
      <c r="K13" s="12">
        <v>25.0</v>
      </c>
      <c r="L13" s="15" t="s">
        <v>47</v>
      </c>
      <c r="M13" s="17"/>
      <c r="N13" s="17"/>
    </row>
    <row r="14" ht="14.25" customHeight="1">
      <c r="A14" s="19" t="s">
        <v>1389</v>
      </c>
      <c r="B14" s="21" t="s">
        <v>515</v>
      </c>
      <c r="C14" s="21" t="s">
        <v>1059</v>
      </c>
      <c r="D14" s="19" t="s">
        <v>33</v>
      </c>
      <c r="E14" s="21" t="s">
        <v>1350</v>
      </c>
      <c r="F14" s="21" t="s">
        <v>1392</v>
      </c>
      <c r="G14" s="21" t="s">
        <v>1393</v>
      </c>
      <c r="H14" s="21" t="s">
        <v>1396</v>
      </c>
      <c r="I14" s="19" t="s">
        <v>28</v>
      </c>
      <c r="J14" s="19" t="s">
        <v>75</v>
      </c>
      <c r="K14" s="19">
        <v>25.0</v>
      </c>
      <c r="L14" s="15" t="s">
        <v>47</v>
      </c>
      <c r="M14" s="17"/>
      <c r="N14" s="17"/>
    </row>
    <row r="15" ht="14.25" customHeight="1">
      <c r="A15" s="12" t="s">
        <v>1403</v>
      </c>
      <c r="B15" s="11" t="s">
        <v>515</v>
      </c>
      <c r="C15" s="11" t="s">
        <v>1059</v>
      </c>
      <c r="D15" s="12" t="s">
        <v>33</v>
      </c>
      <c r="E15" s="11" t="s">
        <v>1299</v>
      </c>
      <c r="F15" s="11" t="s">
        <v>1408</v>
      </c>
      <c r="G15" s="11" t="s">
        <v>1410</v>
      </c>
      <c r="H15" s="11" t="s">
        <v>1413</v>
      </c>
      <c r="I15" s="12" t="s">
        <v>29</v>
      </c>
      <c r="J15" s="12" t="s">
        <v>75</v>
      </c>
      <c r="K15" s="12">
        <v>25.0</v>
      </c>
      <c r="L15" s="15" t="s">
        <v>47</v>
      </c>
      <c r="M15" s="17"/>
      <c r="N15" s="17"/>
    </row>
    <row r="16" ht="14.25" customHeight="1">
      <c r="A16" s="19" t="s">
        <v>1421</v>
      </c>
      <c r="B16" s="21" t="s">
        <v>515</v>
      </c>
      <c r="C16" s="21" t="s">
        <v>1059</v>
      </c>
      <c r="D16" s="19" t="s">
        <v>33</v>
      </c>
      <c r="E16" s="21" t="s">
        <v>1350</v>
      </c>
      <c r="F16" s="21" t="s">
        <v>1423</v>
      </c>
      <c r="G16" s="21" t="s">
        <v>1424</v>
      </c>
      <c r="H16" s="21" t="s">
        <v>1426</v>
      </c>
      <c r="I16" s="19" t="s">
        <v>28</v>
      </c>
      <c r="J16" s="19" t="s">
        <v>75</v>
      </c>
      <c r="K16" s="19">
        <v>25.0</v>
      </c>
      <c r="L16" s="15" t="s">
        <v>47</v>
      </c>
      <c r="M16" s="17"/>
      <c r="N16" s="17"/>
    </row>
    <row r="17" ht="14.25" customHeight="1">
      <c r="A17" s="12" t="s">
        <v>1435</v>
      </c>
      <c r="B17" s="11" t="s">
        <v>515</v>
      </c>
      <c r="C17" s="11" t="s">
        <v>1059</v>
      </c>
      <c r="D17" s="12" t="s">
        <v>33</v>
      </c>
      <c r="E17" s="11" t="s">
        <v>1438</v>
      </c>
      <c r="F17" s="11" t="s">
        <v>1440</v>
      </c>
      <c r="G17" s="11" t="s">
        <v>1441</v>
      </c>
      <c r="H17" s="11" t="s">
        <v>1443</v>
      </c>
      <c r="I17" s="12" t="s">
        <v>28</v>
      </c>
      <c r="J17" s="12" t="s">
        <v>75</v>
      </c>
      <c r="K17" s="12">
        <v>25.0</v>
      </c>
      <c r="L17" s="15" t="s">
        <v>47</v>
      </c>
      <c r="M17" s="17"/>
      <c r="N17" s="17"/>
    </row>
    <row r="18" ht="14.25" customHeight="1">
      <c r="A18" s="19" t="s">
        <v>1453</v>
      </c>
      <c r="B18" s="21" t="s">
        <v>515</v>
      </c>
      <c r="C18" s="21" t="s">
        <v>1059</v>
      </c>
      <c r="D18" s="19" t="s">
        <v>33</v>
      </c>
      <c r="E18" s="21" t="s">
        <v>1458</v>
      </c>
      <c r="F18" s="21" t="s">
        <v>1459</v>
      </c>
      <c r="G18" s="21" t="s">
        <v>1460</v>
      </c>
      <c r="H18" s="21" t="s">
        <v>1461</v>
      </c>
      <c r="I18" s="19" t="s">
        <v>28</v>
      </c>
      <c r="J18" s="19" t="s">
        <v>75</v>
      </c>
      <c r="K18" s="19">
        <v>25.0</v>
      </c>
      <c r="L18" s="15" t="s">
        <v>47</v>
      </c>
      <c r="M18" s="17"/>
      <c r="N18" s="17"/>
    </row>
    <row r="19" ht="14.25" customHeight="1">
      <c r="A19" s="12" t="s">
        <v>1468</v>
      </c>
      <c r="B19" s="11" t="s">
        <v>515</v>
      </c>
      <c r="C19" s="11" t="s">
        <v>1059</v>
      </c>
      <c r="D19" s="12" t="s">
        <v>33</v>
      </c>
      <c r="E19" s="11" t="s">
        <v>1299</v>
      </c>
      <c r="F19" s="11" t="s">
        <v>1475</v>
      </c>
      <c r="G19" s="11" t="s">
        <v>1476</v>
      </c>
      <c r="H19" s="11" t="s">
        <v>1477</v>
      </c>
      <c r="I19" s="12" t="s">
        <v>29</v>
      </c>
      <c r="J19" s="12" t="s">
        <v>75</v>
      </c>
      <c r="K19" s="12">
        <v>25.0</v>
      </c>
      <c r="L19" s="15" t="s">
        <v>47</v>
      </c>
      <c r="M19" s="17"/>
      <c r="N19" s="17"/>
    </row>
    <row r="20" ht="14.25" customHeight="1">
      <c r="A20" s="19" t="s">
        <v>1483</v>
      </c>
      <c r="B20" s="21" t="s">
        <v>515</v>
      </c>
      <c r="C20" s="21" t="s">
        <v>1059</v>
      </c>
      <c r="D20" s="19" t="s">
        <v>33</v>
      </c>
      <c r="E20" s="21" t="s">
        <v>1488</v>
      </c>
      <c r="F20" s="21" t="s">
        <v>1490</v>
      </c>
      <c r="G20" s="21" t="s">
        <v>1492</v>
      </c>
      <c r="H20" s="21" t="s">
        <v>1494</v>
      </c>
      <c r="I20" s="19" t="s">
        <v>28</v>
      </c>
      <c r="J20" s="19" t="s">
        <v>75</v>
      </c>
      <c r="K20" s="19">
        <v>25.0</v>
      </c>
      <c r="L20" s="15" t="s">
        <v>47</v>
      </c>
      <c r="M20" s="17"/>
      <c r="N20" s="17"/>
    </row>
    <row r="21" ht="14.25" customHeight="1">
      <c r="A21" s="12" t="s">
        <v>1499</v>
      </c>
      <c r="B21" s="11" t="s">
        <v>515</v>
      </c>
      <c r="C21" s="11" t="s">
        <v>1059</v>
      </c>
      <c r="D21" s="12" t="s">
        <v>33</v>
      </c>
      <c r="E21" s="11" t="s">
        <v>1503</v>
      </c>
      <c r="F21" s="11" t="s">
        <v>1505</v>
      </c>
      <c r="G21" s="11" t="s">
        <v>1508</v>
      </c>
      <c r="H21" s="11" t="s">
        <v>1509</v>
      </c>
      <c r="I21" s="12" t="s">
        <v>28</v>
      </c>
      <c r="J21" s="12" t="s">
        <v>75</v>
      </c>
      <c r="K21" s="12">
        <v>25.0</v>
      </c>
      <c r="L21" s="15" t="s">
        <v>47</v>
      </c>
      <c r="M21" s="17"/>
      <c r="N21" s="17"/>
    </row>
    <row r="22" ht="14.25" customHeight="1">
      <c r="A22" s="19" t="s">
        <v>1514</v>
      </c>
      <c r="B22" s="21" t="s">
        <v>515</v>
      </c>
      <c r="C22" s="21" t="s">
        <v>1515</v>
      </c>
      <c r="D22" s="19" t="s">
        <v>33</v>
      </c>
      <c r="E22" s="21" t="s">
        <v>1516</v>
      </c>
      <c r="F22" s="21" t="s">
        <v>1519</v>
      </c>
      <c r="G22" s="21" t="s">
        <v>1521</v>
      </c>
      <c r="H22" s="21" t="s">
        <v>1524</v>
      </c>
      <c r="I22" s="19" t="s">
        <v>28</v>
      </c>
      <c r="J22" s="19" t="s">
        <v>352</v>
      </c>
      <c r="K22" s="19">
        <v>40.0</v>
      </c>
      <c r="L22" s="15" t="s">
        <v>47</v>
      </c>
      <c r="M22" s="17"/>
      <c r="N22" s="17"/>
    </row>
    <row r="23" ht="14.25" customHeight="1">
      <c r="A23" s="12" t="s">
        <v>1530</v>
      </c>
      <c r="B23" s="11" t="s">
        <v>515</v>
      </c>
      <c r="C23" s="11" t="s">
        <v>1515</v>
      </c>
      <c r="D23" s="12" t="s">
        <v>33</v>
      </c>
      <c r="E23" s="11" t="s">
        <v>1532</v>
      </c>
      <c r="F23" s="11" t="s">
        <v>1534</v>
      </c>
      <c r="G23" s="11" t="s">
        <v>1539</v>
      </c>
      <c r="H23" s="11" t="s">
        <v>1541</v>
      </c>
      <c r="I23" s="12" t="s">
        <v>28</v>
      </c>
      <c r="J23" s="12" t="s">
        <v>352</v>
      </c>
      <c r="K23" s="12">
        <v>40.0</v>
      </c>
      <c r="L23" s="15" t="s">
        <v>47</v>
      </c>
      <c r="M23" s="17"/>
      <c r="N23" s="17"/>
    </row>
    <row r="24" ht="14.25" customHeight="1">
      <c r="A24" s="19" t="s">
        <v>1545</v>
      </c>
      <c r="B24" s="21" t="s">
        <v>515</v>
      </c>
      <c r="C24" s="21" t="s">
        <v>1515</v>
      </c>
      <c r="D24" s="19" t="s">
        <v>33</v>
      </c>
      <c r="E24" s="21" t="s">
        <v>1532</v>
      </c>
      <c r="F24" s="21" t="s">
        <v>1546</v>
      </c>
      <c r="G24" s="21" t="s">
        <v>1547</v>
      </c>
      <c r="H24" s="21" t="s">
        <v>1548</v>
      </c>
      <c r="I24" s="19" t="s">
        <v>28</v>
      </c>
      <c r="J24" s="19" t="s">
        <v>352</v>
      </c>
      <c r="K24" s="19">
        <v>35.0</v>
      </c>
      <c r="L24" s="15" t="s">
        <v>47</v>
      </c>
      <c r="M24" s="17"/>
      <c r="N24" s="17"/>
    </row>
    <row r="25" ht="14.25" customHeight="1">
      <c r="A25" s="12" t="s">
        <v>1549</v>
      </c>
      <c r="B25" s="11" t="s">
        <v>515</v>
      </c>
      <c r="C25" s="11" t="s">
        <v>1515</v>
      </c>
      <c r="D25" s="12" t="s">
        <v>33</v>
      </c>
      <c r="E25" s="11" t="s">
        <v>1532</v>
      </c>
      <c r="F25" s="11" t="s">
        <v>1551</v>
      </c>
      <c r="G25" s="11" t="s">
        <v>1552</v>
      </c>
      <c r="H25" s="11" t="s">
        <v>1553</v>
      </c>
      <c r="I25" s="12" t="s">
        <v>28</v>
      </c>
      <c r="J25" s="12" t="s">
        <v>103</v>
      </c>
      <c r="K25" s="12">
        <v>35.0</v>
      </c>
      <c r="L25" s="15" t="s">
        <v>47</v>
      </c>
      <c r="M25" s="17"/>
      <c r="N25" s="17"/>
    </row>
    <row r="26" ht="14.25" customHeight="1">
      <c r="A26" s="19" t="s">
        <v>1557</v>
      </c>
      <c r="B26" s="21" t="s">
        <v>515</v>
      </c>
      <c r="C26" s="21" t="s">
        <v>1559</v>
      </c>
      <c r="D26" s="19" t="s">
        <v>33</v>
      </c>
      <c r="E26" s="21" t="s">
        <v>1560</v>
      </c>
      <c r="F26" s="21" t="s">
        <v>1562</v>
      </c>
      <c r="G26" s="21" t="s">
        <v>1564</v>
      </c>
      <c r="H26" s="21" t="s">
        <v>1566</v>
      </c>
      <c r="I26" s="19" t="s">
        <v>28</v>
      </c>
      <c r="J26" s="19" t="s">
        <v>75</v>
      </c>
      <c r="K26" s="19">
        <v>35.0</v>
      </c>
      <c r="L26" s="15" t="s">
        <v>47</v>
      </c>
      <c r="M26" s="17"/>
      <c r="N26" s="17"/>
    </row>
    <row r="27" ht="14.25" customHeight="1">
      <c r="A27" s="12" t="s">
        <v>1578</v>
      </c>
      <c r="B27" s="11" t="s">
        <v>515</v>
      </c>
      <c r="C27" s="11" t="s">
        <v>1352</v>
      </c>
      <c r="D27" s="12" t="s">
        <v>31</v>
      </c>
      <c r="E27" s="11" t="s">
        <v>1580</v>
      </c>
      <c r="F27" s="11" t="s">
        <v>1581</v>
      </c>
      <c r="G27" s="11" t="s">
        <v>1584</v>
      </c>
      <c r="H27" s="11" t="s">
        <v>1586</v>
      </c>
      <c r="I27" s="12" t="s">
        <v>28</v>
      </c>
      <c r="J27" s="12" t="s">
        <v>102</v>
      </c>
      <c r="K27" s="12">
        <v>30.0</v>
      </c>
      <c r="L27" s="15" t="s">
        <v>47</v>
      </c>
      <c r="M27" s="17"/>
      <c r="N27" s="17"/>
    </row>
    <row r="28" ht="14.25" customHeight="1">
      <c r="A28" s="19" t="s">
        <v>1592</v>
      </c>
      <c r="B28" s="21" t="s">
        <v>515</v>
      </c>
      <c r="C28" s="21" t="s">
        <v>1412</v>
      </c>
      <c r="D28" s="19" t="s">
        <v>31</v>
      </c>
      <c r="E28" s="21" t="s">
        <v>1595</v>
      </c>
      <c r="F28" s="21" t="s">
        <v>1598</v>
      </c>
      <c r="G28" s="21" t="s">
        <v>1599</v>
      </c>
      <c r="H28" s="21" t="s">
        <v>1601</v>
      </c>
      <c r="I28" s="19" t="s">
        <v>28</v>
      </c>
      <c r="J28" s="19" t="s">
        <v>75</v>
      </c>
      <c r="K28" s="19">
        <v>30.0</v>
      </c>
      <c r="L28" s="15" t="s">
        <v>47</v>
      </c>
      <c r="M28" s="17"/>
      <c r="N28" s="17"/>
    </row>
    <row r="29" ht="14.25" customHeight="1">
      <c r="A29" s="12" t="s">
        <v>1607</v>
      </c>
      <c r="B29" s="11" t="s">
        <v>515</v>
      </c>
      <c r="C29" s="11" t="s">
        <v>1412</v>
      </c>
      <c r="D29" s="12" t="s">
        <v>31</v>
      </c>
      <c r="E29" s="11" t="s">
        <v>1611</v>
      </c>
      <c r="F29" s="11" t="s">
        <v>1612</v>
      </c>
      <c r="G29" s="11" t="s">
        <v>1614</v>
      </c>
      <c r="H29" s="11" t="s">
        <v>1615</v>
      </c>
      <c r="I29" s="12" t="s">
        <v>28</v>
      </c>
      <c r="J29" s="12" t="s">
        <v>102</v>
      </c>
      <c r="K29" s="12">
        <v>25.0</v>
      </c>
      <c r="L29" s="15" t="s">
        <v>47</v>
      </c>
      <c r="M29" s="17"/>
      <c r="N29" s="17"/>
    </row>
    <row r="30" ht="14.25" customHeight="1">
      <c r="A30" s="19" t="s">
        <v>1621</v>
      </c>
      <c r="B30" s="21" t="s">
        <v>515</v>
      </c>
      <c r="C30" s="21" t="s">
        <v>352</v>
      </c>
      <c r="D30" s="19" t="s">
        <v>31</v>
      </c>
      <c r="E30" s="21" t="s">
        <v>1625</v>
      </c>
      <c r="F30" s="21" t="s">
        <v>1628</v>
      </c>
      <c r="G30" s="21" t="s">
        <v>1629</v>
      </c>
      <c r="H30" s="21" t="s">
        <v>1631</v>
      </c>
      <c r="I30" s="19" t="s">
        <v>28</v>
      </c>
      <c r="J30" s="19" t="s">
        <v>352</v>
      </c>
      <c r="K30" s="19">
        <v>35.0</v>
      </c>
      <c r="L30" s="15" t="s">
        <v>47</v>
      </c>
      <c r="M30" s="17"/>
      <c r="N30" s="17"/>
    </row>
    <row r="31" ht="14.25" customHeight="1"/>
    <row r="32" ht="14.25" customHeight="1">
      <c r="J32" s="3" t="s">
        <v>789</v>
      </c>
      <c r="K32" s="27">
        <f>SUM(K3:K30)</f>
        <v>755</v>
      </c>
    </row>
    <row r="33" ht="14.25" customHeight="1">
      <c r="J33" s="3" t="s">
        <v>808</v>
      </c>
      <c r="K33" s="28">
        <f>K32/60</f>
        <v>12.58333333</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30"/>
  <mergeCells count="1">
    <mergeCell ref="A1:N1"/>
  </mergeCells>
  <conditionalFormatting sqref="L3:L30">
    <cfRule type="cellIs" dxfId="0" priority="1" operator="equal">
      <formula>"Pass"</formula>
    </cfRule>
  </conditionalFormatting>
  <conditionalFormatting sqref="L3:L30">
    <cfRule type="cellIs" dxfId="1" priority="2" operator="equal">
      <formula>"Fail"</formula>
    </cfRule>
  </conditionalFormatting>
  <conditionalFormatting sqref="L3:L30">
    <cfRule type="cellIs" dxfId="2" priority="3" operator="equal">
      <formula>"Blocked"</formula>
    </cfRule>
  </conditionalFormatting>
  <dataValidations>
    <dataValidation type="list" allowBlank="1" sqref="L3:L30">
      <formula1>"Not Run,Pass,Fail,Blocked,N-A"</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1943</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1944</v>
      </c>
      <c r="B3" s="11" t="s">
        <v>580</v>
      </c>
      <c r="C3" s="11" t="s">
        <v>926</v>
      </c>
      <c r="D3" s="12" t="s">
        <v>31</v>
      </c>
      <c r="E3" s="11" t="s">
        <v>68</v>
      </c>
      <c r="F3" s="11" t="s">
        <v>1945</v>
      </c>
      <c r="G3" s="11" t="s">
        <v>1946</v>
      </c>
      <c r="H3" s="11" t="s">
        <v>1947</v>
      </c>
      <c r="I3" s="12" t="s">
        <v>28</v>
      </c>
      <c r="J3" s="12" t="s">
        <v>75</v>
      </c>
      <c r="K3" s="12">
        <v>12.0</v>
      </c>
      <c r="L3" s="15" t="s">
        <v>47</v>
      </c>
      <c r="M3" s="17"/>
      <c r="N3" s="17"/>
    </row>
    <row r="4" ht="14.25" customHeight="1">
      <c r="A4" s="19" t="s">
        <v>1949</v>
      </c>
      <c r="B4" s="21" t="s">
        <v>580</v>
      </c>
      <c r="C4" s="21" t="s">
        <v>1004</v>
      </c>
      <c r="D4" s="19" t="s">
        <v>31</v>
      </c>
      <c r="E4" s="21" t="s">
        <v>1950</v>
      </c>
      <c r="F4" s="21" t="s">
        <v>1951</v>
      </c>
      <c r="G4" s="21" t="s">
        <v>1952</v>
      </c>
      <c r="H4" s="21" t="s">
        <v>1953</v>
      </c>
      <c r="I4" s="19" t="s">
        <v>28</v>
      </c>
      <c r="J4" s="19" t="s">
        <v>102</v>
      </c>
      <c r="K4" s="19">
        <v>20.0</v>
      </c>
      <c r="L4" s="15" t="s">
        <v>47</v>
      </c>
      <c r="M4" s="17"/>
      <c r="N4" s="17"/>
    </row>
    <row r="5" ht="14.25" customHeight="1">
      <c r="A5" s="12" t="s">
        <v>1954</v>
      </c>
      <c r="B5" s="11" t="s">
        <v>580</v>
      </c>
      <c r="C5" s="11" t="s">
        <v>1004</v>
      </c>
      <c r="D5" s="12" t="s">
        <v>31</v>
      </c>
      <c r="E5" s="11" t="s">
        <v>1950</v>
      </c>
      <c r="F5" s="11" t="s">
        <v>1955</v>
      </c>
      <c r="G5" s="11" t="s">
        <v>1956</v>
      </c>
      <c r="H5" s="11" t="s">
        <v>1957</v>
      </c>
      <c r="I5" s="12" t="s">
        <v>28</v>
      </c>
      <c r="J5" s="12" t="s">
        <v>102</v>
      </c>
      <c r="K5" s="12">
        <v>20.0</v>
      </c>
      <c r="L5" s="15" t="s">
        <v>47</v>
      </c>
      <c r="M5" s="17"/>
      <c r="N5" s="17"/>
    </row>
    <row r="6" ht="14.25" customHeight="1">
      <c r="A6" s="19" t="s">
        <v>1958</v>
      </c>
      <c r="B6" s="21" t="s">
        <v>580</v>
      </c>
      <c r="C6" s="21" t="s">
        <v>1004</v>
      </c>
      <c r="D6" s="19" t="s">
        <v>31</v>
      </c>
      <c r="E6" s="21" t="s">
        <v>1950</v>
      </c>
      <c r="F6" s="21" t="s">
        <v>1959</v>
      </c>
      <c r="G6" s="21" t="s">
        <v>1960</v>
      </c>
      <c r="H6" s="21" t="s">
        <v>1961</v>
      </c>
      <c r="I6" s="19" t="s">
        <v>29</v>
      </c>
      <c r="J6" s="19" t="s">
        <v>102</v>
      </c>
      <c r="K6" s="19">
        <v>15.0</v>
      </c>
      <c r="L6" s="15" t="s">
        <v>47</v>
      </c>
      <c r="M6" s="17"/>
      <c r="N6" s="17"/>
    </row>
    <row r="7" ht="14.25" customHeight="1">
      <c r="A7" s="12" t="s">
        <v>1962</v>
      </c>
      <c r="B7" s="11" t="s">
        <v>580</v>
      </c>
      <c r="C7" s="11" t="s">
        <v>994</v>
      </c>
      <c r="D7" s="12" t="s">
        <v>31</v>
      </c>
      <c r="E7" s="11" t="s">
        <v>1950</v>
      </c>
      <c r="F7" s="11" t="s">
        <v>1964</v>
      </c>
      <c r="G7" s="11" t="s">
        <v>1965</v>
      </c>
      <c r="H7" s="11" t="s">
        <v>1966</v>
      </c>
      <c r="I7" s="12" t="s">
        <v>29</v>
      </c>
      <c r="J7" s="12" t="s">
        <v>75</v>
      </c>
      <c r="K7" s="12">
        <v>15.0</v>
      </c>
      <c r="L7" s="15" t="s">
        <v>47</v>
      </c>
      <c r="M7" s="17"/>
      <c r="N7" s="17"/>
    </row>
    <row r="8" ht="14.25" customHeight="1">
      <c r="A8" s="19" t="s">
        <v>1970</v>
      </c>
      <c r="B8" s="21" t="s">
        <v>580</v>
      </c>
      <c r="C8" s="21" t="s">
        <v>1972</v>
      </c>
      <c r="D8" s="19" t="s">
        <v>31</v>
      </c>
      <c r="E8" s="21" t="s">
        <v>1950</v>
      </c>
      <c r="F8" s="21" t="s">
        <v>1973</v>
      </c>
      <c r="G8" s="21" t="s">
        <v>1974</v>
      </c>
      <c r="H8" s="21" t="s">
        <v>1975</v>
      </c>
      <c r="I8" s="19" t="s">
        <v>29</v>
      </c>
      <c r="J8" s="19" t="s">
        <v>75</v>
      </c>
      <c r="K8" s="19">
        <v>15.0</v>
      </c>
      <c r="L8" s="15" t="s">
        <v>47</v>
      </c>
      <c r="M8" s="17"/>
      <c r="N8" s="17"/>
    </row>
    <row r="9" ht="14.25" customHeight="1">
      <c r="A9" s="12" t="s">
        <v>1976</v>
      </c>
      <c r="B9" s="11" t="s">
        <v>580</v>
      </c>
      <c r="C9" s="11" t="s">
        <v>1977</v>
      </c>
      <c r="D9" s="12" t="s">
        <v>31</v>
      </c>
      <c r="E9" s="11" t="s">
        <v>1950</v>
      </c>
      <c r="F9" s="11" t="s">
        <v>1978</v>
      </c>
      <c r="G9" s="11" t="s">
        <v>1979</v>
      </c>
      <c r="H9" s="11" t="s">
        <v>1980</v>
      </c>
      <c r="I9" s="12" t="s">
        <v>29</v>
      </c>
      <c r="J9" s="12" t="s">
        <v>75</v>
      </c>
      <c r="K9" s="12">
        <v>15.0</v>
      </c>
      <c r="L9" s="15" t="s">
        <v>47</v>
      </c>
      <c r="M9" s="17"/>
      <c r="N9" s="17"/>
    </row>
    <row r="10" ht="14.25" customHeight="1">
      <c r="A10" s="19" t="s">
        <v>1981</v>
      </c>
      <c r="B10" s="21" t="s">
        <v>580</v>
      </c>
      <c r="C10" s="21" t="s">
        <v>1982</v>
      </c>
      <c r="D10" s="19" t="s">
        <v>31</v>
      </c>
      <c r="E10" s="21" t="s">
        <v>1983</v>
      </c>
      <c r="F10" s="21" t="s">
        <v>1984</v>
      </c>
      <c r="G10" s="21" t="s">
        <v>1985</v>
      </c>
      <c r="H10" s="21" t="s">
        <v>1986</v>
      </c>
      <c r="I10" s="19" t="s">
        <v>29</v>
      </c>
      <c r="J10" s="19" t="s">
        <v>75</v>
      </c>
      <c r="K10" s="19">
        <v>12.0</v>
      </c>
      <c r="L10" s="15" t="s">
        <v>47</v>
      </c>
      <c r="M10" s="17"/>
      <c r="N10" s="17"/>
    </row>
    <row r="11" ht="14.25" customHeight="1">
      <c r="A11" s="12" t="s">
        <v>1988</v>
      </c>
      <c r="B11" s="11" t="s">
        <v>580</v>
      </c>
      <c r="C11" s="11" t="s">
        <v>1989</v>
      </c>
      <c r="D11" s="12" t="s">
        <v>31</v>
      </c>
      <c r="E11" s="11" t="s">
        <v>1990</v>
      </c>
      <c r="F11" s="11" t="s">
        <v>1991</v>
      </c>
      <c r="G11" s="11" t="s">
        <v>1992</v>
      </c>
      <c r="H11" s="11" t="s">
        <v>1994</v>
      </c>
      <c r="I11" s="12" t="s">
        <v>28</v>
      </c>
      <c r="J11" s="12" t="s">
        <v>102</v>
      </c>
      <c r="K11" s="12">
        <v>15.0</v>
      </c>
      <c r="L11" s="15" t="s">
        <v>47</v>
      </c>
      <c r="M11" s="17"/>
      <c r="N11" s="17"/>
    </row>
    <row r="12" ht="14.25" customHeight="1">
      <c r="A12" s="19" t="s">
        <v>1998</v>
      </c>
      <c r="B12" s="21" t="s">
        <v>580</v>
      </c>
      <c r="C12" s="21" t="s">
        <v>1999</v>
      </c>
      <c r="D12" s="19" t="s">
        <v>31</v>
      </c>
      <c r="E12" s="21" t="s">
        <v>1990</v>
      </c>
      <c r="F12" s="21" t="s">
        <v>2000</v>
      </c>
      <c r="G12" s="21" t="s">
        <v>934</v>
      </c>
      <c r="H12" s="21" t="s">
        <v>2002</v>
      </c>
      <c r="I12" s="19" t="s">
        <v>29</v>
      </c>
      <c r="J12" s="19" t="s">
        <v>197</v>
      </c>
      <c r="K12" s="19">
        <v>12.0</v>
      </c>
      <c r="L12" s="15" t="s">
        <v>47</v>
      </c>
      <c r="M12" s="17"/>
      <c r="N12" s="17"/>
    </row>
    <row r="13" ht="14.25" customHeight="1">
      <c r="A13" s="12" t="s">
        <v>2005</v>
      </c>
      <c r="B13" s="11" t="s">
        <v>580</v>
      </c>
      <c r="C13" s="11" t="s">
        <v>1999</v>
      </c>
      <c r="D13" s="12" t="s">
        <v>31</v>
      </c>
      <c r="E13" s="11" t="s">
        <v>2007</v>
      </c>
      <c r="F13" s="11" t="s">
        <v>2008</v>
      </c>
      <c r="G13" s="11" t="s">
        <v>2009</v>
      </c>
      <c r="H13" s="11" t="s">
        <v>2011</v>
      </c>
      <c r="I13" s="12" t="s">
        <v>28</v>
      </c>
      <c r="J13" s="12" t="s">
        <v>102</v>
      </c>
      <c r="K13" s="12">
        <v>25.0</v>
      </c>
      <c r="L13" s="15" t="s">
        <v>47</v>
      </c>
      <c r="M13" s="17"/>
      <c r="N13" s="17"/>
    </row>
    <row r="14" ht="14.25" customHeight="1">
      <c r="A14" s="19" t="s">
        <v>2015</v>
      </c>
      <c r="B14" s="21" t="s">
        <v>580</v>
      </c>
      <c r="C14" s="21" t="s">
        <v>1999</v>
      </c>
      <c r="D14" s="19" t="s">
        <v>31</v>
      </c>
      <c r="E14" s="21" t="s">
        <v>2017</v>
      </c>
      <c r="F14" s="21" t="s">
        <v>2018</v>
      </c>
      <c r="G14" s="21" t="s">
        <v>2019</v>
      </c>
      <c r="H14" s="21" t="s">
        <v>2021</v>
      </c>
      <c r="I14" s="19" t="s">
        <v>28</v>
      </c>
      <c r="J14" s="19" t="s">
        <v>102</v>
      </c>
      <c r="K14" s="19">
        <v>25.0</v>
      </c>
      <c r="L14" s="15" t="s">
        <v>47</v>
      </c>
      <c r="M14" s="17"/>
      <c r="N14" s="17"/>
    </row>
    <row r="15" ht="14.25" customHeight="1">
      <c r="A15" s="12" t="s">
        <v>2025</v>
      </c>
      <c r="B15" s="11" t="s">
        <v>580</v>
      </c>
      <c r="C15" s="11" t="s">
        <v>1999</v>
      </c>
      <c r="D15" s="12" t="s">
        <v>31</v>
      </c>
      <c r="E15" s="11" t="s">
        <v>2007</v>
      </c>
      <c r="F15" s="11" t="s">
        <v>2026</v>
      </c>
      <c r="G15" s="11" t="s">
        <v>2027</v>
      </c>
      <c r="H15" s="11" t="s">
        <v>2029</v>
      </c>
      <c r="I15" s="12" t="s">
        <v>29</v>
      </c>
      <c r="J15" s="12" t="s">
        <v>102</v>
      </c>
      <c r="K15" s="12">
        <v>15.0</v>
      </c>
      <c r="L15" s="15" t="s">
        <v>47</v>
      </c>
      <c r="M15" s="17"/>
      <c r="N15" s="17"/>
    </row>
    <row r="16" ht="14.25" customHeight="1">
      <c r="A16" s="19" t="s">
        <v>2033</v>
      </c>
      <c r="B16" s="21" t="s">
        <v>580</v>
      </c>
      <c r="C16" s="21" t="s">
        <v>2034</v>
      </c>
      <c r="D16" s="19" t="s">
        <v>31</v>
      </c>
      <c r="E16" s="21" t="s">
        <v>1990</v>
      </c>
      <c r="F16" s="21" t="s">
        <v>2035</v>
      </c>
      <c r="G16" s="21" t="s">
        <v>2037</v>
      </c>
      <c r="H16" s="21" t="s">
        <v>2038</v>
      </c>
      <c r="I16" s="19" t="s">
        <v>29</v>
      </c>
      <c r="J16" s="19" t="s">
        <v>75</v>
      </c>
      <c r="K16" s="19">
        <v>15.0</v>
      </c>
      <c r="L16" s="15" t="s">
        <v>47</v>
      </c>
      <c r="M16" s="17"/>
      <c r="N16" s="17"/>
    </row>
    <row r="17" ht="14.25" customHeight="1">
      <c r="A17" s="12" t="s">
        <v>2042</v>
      </c>
      <c r="B17" s="11" t="s">
        <v>580</v>
      </c>
      <c r="C17" s="11" t="s">
        <v>2034</v>
      </c>
      <c r="D17" s="12" t="s">
        <v>31</v>
      </c>
      <c r="E17" s="11" t="s">
        <v>2043</v>
      </c>
      <c r="F17" s="11" t="s">
        <v>1078</v>
      </c>
      <c r="G17" s="11" t="s">
        <v>2045</v>
      </c>
      <c r="H17" s="11" t="s">
        <v>2046</v>
      </c>
      <c r="I17" s="12" t="s">
        <v>29</v>
      </c>
      <c r="J17" s="12" t="s">
        <v>197</v>
      </c>
      <c r="K17" s="12">
        <v>10.0</v>
      </c>
      <c r="L17" s="15" t="s">
        <v>47</v>
      </c>
      <c r="M17" s="17"/>
      <c r="N17" s="17"/>
    </row>
    <row r="18" ht="14.25" customHeight="1">
      <c r="A18" s="19" t="s">
        <v>2050</v>
      </c>
      <c r="B18" s="21" t="s">
        <v>580</v>
      </c>
      <c r="C18" s="21" t="s">
        <v>2034</v>
      </c>
      <c r="D18" s="19" t="s">
        <v>31</v>
      </c>
      <c r="E18" s="21" t="s">
        <v>2043</v>
      </c>
      <c r="F18" s="21" t="s">
        <v>2052</v>
      </c>
      <c r="G18" s="21" t="s">
        <v>2053</v>
      </c>
      <c r="H18" s="21" t="s">
        <v>2055</v>
      </c>
      <c r="I18" s="19" t="s">
        <v>28</v>
      </c>
      <c r="J18" s="19" t="s">
        <v>103</v>
      </c>
      <c r="K18" s="19">
        <v>15.0</v>
      </c>
      <c r="L18" s="15" t="s">
        <v>47</v>
      </c>
      <c r="M18" s="17"/>
      <c r="N18" s="17"/>
    </row>
    <row r="19" ht="14.25" customHeight="1">
      <c r="A19" s="12" t="s">
        <v>2059</v>
      </c>
      <c r="B19" s="11" t="s">
        <v>580</v>
      </c>
      <c r="C19" s="11" t="s">
        <v>2034</v>
      </c>
      <c r="D19" s="12" t="s">
        <v>31</v>
      </c>
      <c r="E19" s="11" t="s">
        <v>2043</v>
      </c>
      <c r="F19" s="11" t="s">
        <v>2060</v>
      </c>
      <c r="G19" s="11" t="s">
        <v>2062</v>
      </c>
      <c r="H19" s="11" t="s">
        <v>2063</v>
      </c>
      <c r="I19" s="12" t="s">
        <v>29</v>
      </c>
      <c r="J19" s="12" t="s">
        <v>75</v>
      </c>
      <c r="K19" s="12">
        <v>15.0</v>
      </c>
      <c r="L19" s="15" t="s">
        <v>47</v>
      </c>
      <c r="M19" s="17"/>
      <c r="N19" s="17"/>
    </row>
    <row r="20" ht="14.25" customHeight="1">
      <c r="A20" s="19" t="s">
        <v>2068</v>
      </c>
      <c r="B20" s="21" t="s">
        <v>580</v>
      </c>
      <c r="C20" s="21" t="s">
        <v>2034</v>
      </c>
      <c r="D20" s="19" t="s">
        <v>31</v>
      </c>
      <c r="E20" s="21" t="s">
        <v>543</v>
      </c>
      <c r="F20" s="21" t="s">
        <v>2070</v>
      </c>
      <c r="G20" s="21" t="s">
        <v>2072</v>
      </c>
      <c r="H20" s="21" t="s">
        <v>2074</v>
      </c>
      <c r="I20" s="19" t="s">
        <v>28</v>
      </c>
      <c r="J20" s="19" t="s">
        <v>75</v>
      </c>
      <c r="K20" s="19">
        <v>20.0</v>
      </c>
      <c r="L20" s="15" t="s">
        <v>47</v>
      </c>
      <c r="M20" s="17"/>
      <c r="N20" s="17"/>
    </row>
    <row r="21" ht="14.25" customHeight="1">
      <c r="A21" s="12" t="s">
        <v>2076</v>
      </c>
      <c r="B21" s="11" t="s">
        <v>580</v>
      </c>
      <c r="C21" s="11" t="s">
        <v>2034</v>
      </c>
      <c r="D21" s="12" t="s">
        <v>31</v>
      </c>
      <c r="E21" s="11" t="s">
        <v>2043</v>
      </c>
      <c r="F21" s="11" t="s">
        <v>2079</v>
      </c>
      <c r="G21" s="11" t="s">
        <v>2081</v>
      </c>
      <c r="H21" s="11" t="s">
        <v>2082</v>
      </c>
      <c r="I21" s="12" t="s">
        <v>29</v>
      </c>
      <c r="J21" s="12" t="s">
        <v>75</v>
      </c>
      <c r="K21" s="12">
        <v>15.0</v>
      </c>
      <c r="L21" s="15" t="s">
        <v>47</v>
      </c>
      <c r="M21" s="17"/>
      <c r="N21" s="17"/>
    </row>
    <row r="22" ht="14.25" customHeight="1">
      <c r="A22" s="19" t="s">
        <v>2085</v>
      </c>
      <c r="B22" s="21" t="s">
        <v>580</v>
      </c>
      <c r="C22" s="21" t="s">
        <v>2034</v>
      </c>
      <c r="D22" s="19" t="s">
        <v>31</v>
      </c>
      <c r="E22" s="21" t="s">
        <v>2043</v>
      </c>
      <c r="F22" s="21" t="s">
        <v>2088</v>
      </c>
      <c r="G22" s="21" t="s">
        <v>2090</v>
      </c>
      <c r="H22" s="21" t="s">
        <v>2092</v>
      </c>
      <c r="I22" s="19" t="s">
        <v>28</v>
      </c>
      <c r="J22" s="19" t="s">
        <v>75</v>
      </c>
      <c r="K22" s="19">
        <v>25.0</v>
      </c>
      <c r="L22" s="15" t="s">
        <v>47</v>
      </c>
      <c r="M22" s="17"/>
      <c r="N22" s="17"/>
    </row>
    <row r="23" ht="14.25" customHeight="1">
      <c r="A23" s="12" t="s">
        <v>2093</v>
      </c>
      <c r="B23" s="11" t="s">
        <v>580</v>
      </c>
      <c r="C23" s="11" t="s">
        <v>2034</v>
      </c>
      <c r="D23" s="12" t="s">
        <v>31</v>
      </c>
      <c r="E23" s="11" t="s">
        <v>2097</v>
      </c>
      <c r="F23" s="11" t="s">
        <v>2099</v>
      </c>
      <c r="G23" s="11" t="s">
        <v>2100</v>
      </c>
      <c r="H23" s="11" t="s">
        <v>2102</v>
      </c>
      <c r="I23" s="12" t="s">
        <v>28</v>
      </c>
      <c r="J23" s="12" t="s">
        <v>75</v>
      </c>
      <c r="K23" s="12">
        <v>20.0</v>
      </c>
      <c r="L23" s="15" t="s">
        <v>47</v>
      </c>
      <c r="M23" s="17"/>
      <c r="N23" s="17"/>
    </row>
    <row r="24" ht="14.25" customHeight="1">
      <c r="A24" s="19" t="s">
        <v>2105</v>
      </c>
      <c r="B24" s="21" t="s">
        <v>580</v>
      </c>
      <c r="C24" s="21" t="s">
        <v>2034</v>
      </c>
      <c r="D24" s="19" t="s">
        <v>31</v>
      </c>
      <c r="E24" s="21" t="s">
        <v>2043</v>
      </c>
      <c r="F24" s="21" t="s">
        <v>2107</v>
      </c>
      <c r="G24" s="21" t="s">
        <v>2108</v>
      </c>
      <c r="H24" s="21" t="s">
        <v>2109</v>
      </c>
      <c r="I24" s="19" t="s">
        <v>29</v>
      </c>
      <c r="J24" s="19" t="s">
        <v>103</v>
      </c>
      <c r="K24" s="19">
        <v>18.0</v>
      </c>
      <c r="L24" s="15" t="s">
        <v>47</v>
      </c>
      <c r="M24" s="17"/>
      <c r="N24" s="17"/>
    </row>
    <row r="25" ht="14.25" customHeight="1">
      <c r="A25" s="12" t="s">
        <v>2113</v>
      </c>
      <c r="B25" s="11" t="s">
        <v>580</v>
      </c>
      <c r="C25" s="11" t="s">
        <v>2034</v>
      </c>
      <c r="D25" s="12" t="s">
        <v>31</v>
      </c>
      <c r="E25" s="11" t="s">
        <v>2043</v>
      </c>
      <c r="F25" s="11" t="s">
        <v>2116</v>
      </c>
      <c r="G25" s="11" t="s">
        <v>2118</v>
      </c>
      <c r="H25" s="11" t="s">
        <v>2120</v>
      </c>
      <c r="I25" s="12" t="s">
        <v>28</v>
      </c>
      <c r="J25" s="12" t="s">
        <v>103</v>
      </c>
      <c r="K25" s="12">
        <v>20.0</v>
      </c>
      <c r="L25" s="15" t="s">
        <v>47</v>
      </c>
      <c r="M25" s="17"/>
      <c r="N25" s="17"/>
    </row>
    <row r="26" ht="14.25" customHeight="1">
      <c r="A26" s="19" t="s">
        <v>2127</v>
      </c>
      <c r="B26" s="21" t="s">
        <v>580</v>
      </c>
      <c r="C26" s="21" t="s">
        <v>2034</v>
      </c>
      <c r="D26" s="19" t="s">
        <v>31</v>
      </c>
      <c r="E26" s="21" t="s">
        <v>2043</v>
      </c>
      <c r="F26" s="21" t="s">
        <v>2129</v>
      </c>
      <c r="G26" s="21" t="s">
        <v>2130</v>
      </c>
      <c r="H26" s="21" t="s">
        <v>2132</v>
      </c>
      <c r="I26" s="19" t="s">
        <v>29</v>
      </c>
      <c r="J26" s="19" t="s">
        <v>75</v>
      </c>
      <c r="K26" s="19">
        <v>25.0</v>
      </c>
      <c r="L26" s="15" t="s">
        <v>47</v>
      </c>
      <c r="M26" s="17"/>
      <c r="N26" s="17"/>
    </row>
    <row r="27" ht="14.25" customHeight="1">
      <c r="A27" s="12" t="s">
        <v>2140</v>
      </c>
      <c r="B27" s="11" t="s">
        <v>580</v>
      </c>
      <c r="C27" s="11" t="s">
        <v>2034</v>
      </c>
      <c r="D27" s="12" t="s">
        <v>31</v>
      </c>
      <c r="E27" s="11" t="s">
        <v>2043</v>
      </c>
      <c r="F27" s="11" t="s">
        <v>2143</v>
      </c>
      <c r="G27" s="11" t="s">
        <v>2144</v>
      </c>
      <c r="H27" s="11" t="s">
        <v>2145</v>
      </c>
      <c r="I27" s="12" t="s">
        <v>29</v>
      </c>
      <c r="J27" s="12" t="s">
        <v>103</v>
      </c>
      <c r="K27" s="12">
        <v>20.0</v>
      </c>
      <c r="L27" s="15" t="s">
        <v>47</v>
      </c>
      <c r="M27" s="17"/>
      <c r="N27" s="17"/>
    </row>
    <row r="28" ht="14.25" customHeight="1">
      <c r="A28" s="19" t="s">
        <v>2151</v>
      </c>
      <c r="B28" s="21" t="s">
        <v>580</v>
      </c>
      <c r="C28" s="21" t="s">
        <v>2034</v>
      </c>
      <c r="D28" s="19" t="s">
        <v>31</v>
      </c>
      <c r="E28" s="21" t="s">
        <v>2155</v>
      </c>
      <c r="F28" s="21" t="s">
        <v>2157</v>
      </c>
      <c r="G28" s="21" t="s">
        <v>2158</v>
      </c>
      <c r="H28" s="21" t="s">
        <v>2159</v>
      </c>
      <c r="I28" s="19" t="s">
        <v>29</v>
      </c>
      <c r="J28" s="19" t="s">
        <v>75</v>
      </c>
      <c r="K28" s="19">
        <v>10.0</v>
      </c>
      <c r="L28" s="15" t="s">
        <v>47</v>
      </c>
      <c r="M28" s="17"/>
      <c r="N28" s="17"/>
    </row>
    <row r="29" ht="14.25" customHeight="1">
      <c r="A29" s="12" t="s">
        <v>2164</v>
      </c>
      <c r="B29" s="11" t="s">
        <v>580</v>
      </c>
      <c r="C29" s="11" t="s">
        <v>2034</v>
      </c>
      <c r="D29" s="12" t="s">
        <v>31</v>
      </c>
      <c r="E29" s="11" t="s">
        <v>2167</v>
      </c>
      <c r="F29" s="11" t="s">
        <v>2169</v>
      </c>
      <c r="G29" s="11" t="s">
        <v>2171</v>
      </c>
      <c r="H29" s="11" t="s">
        <v>2173</v>
      </c>
      <c r="I29" s="12" t="s">
        <v>28</v>
      </c>
      <c r="J29" s="12" t="s">
        <v>75</v>
      </c>
      <c r="K29" s="12">
        <v>25.0</v>
      </c>
      <c r="L29" s="15" t="s">
        <v>47</v>
      </c>
      <c r="M29" s="17"/>
      <c r="N29" s="17"/>
    </row>
    <row r="30" ht="14.25" customHeight="1">
      <c r="A30" s="19" t="s">
        <v>2175</v>
      </c>
      <c r="B30" s="21" t="s">
        <v>580</v>
      </c>
      <c r="C30" s="21" t="s">
        <v>2178</v>
      </c>
      <c r="D30" s="19" t="s">
        <v>31</v>
      </c>
      <c r="E30" s="21" t="s">
        <v>2179</v>
      </c>
      <c r="F30" s="21" t="s">
        <v>2181</v>
      </c>
      <c r="G30" s="21" t="s">
        <v>2182</v>
      </c>
      <c r="H30" s="21" t="s">
        <v>2184</v>
      </c>
      <c r="I30" s="19" t="s">
        <v>29</v>
      </c>
      <c r="J30" s="19" t="s">
        <v>75</v>
      </c>
      <c r="K30" s="19">
        <v>18.0</v>
      </c>
      <c r="L30" s="15" t="s">
        <v>47</v>
      </c>
      <c r="M30" s="17"/>
      <c r="N30" s="17"/>
    </row>
    <row r="31" ht="14.25" customHeight="1">
      <c r="A31" s="12" t="s">
        <v>2188</v>
      </c>
      <c r="B31" s="11" t="s">
        <v>580</v>
      </c>
      <c r="C31" s="11" t="s">
        <v>2178</v>
      </c>
      <c r="D31" s="12" t="s">
        <v>31</v>
      </c>
      <c r="E31" s="11" t="s">
        <v>2189</v>
      </c>
      <c r="F31" s="11" t="s">
        <v>2190</v>
      </c>
      <c r="G31" s="11" t="s">
        <v>2191</v>
      </c>
      <c r="H31" s="11" t="s">
        <v>2194</v>
      </c>
      <c r="I31" s="12" t="s">
        <v>28</v>
      </c>
      <c r="J31" s="12" t="s">
        <v>75</v>
      </c>
      <c r="K31" s="12">
        <v>25.0</v>
      </c>
      <c r="L31" s="15" t="s">
        <v>47</v>
      </c>
      <c r="M31" s="17"/>
      <c r="N31" s="17"/>
    </row>
    <row r="32" ht="14.25" customHeight="1">
      <c r="A32" s="19" t="s">
        <v>2201</v>
      </c>
      <c r="B32" s="21" t="s">
        <v>580</v>
      </c>
      <c r="C32" s="21" t="s">
        <v>2178</v>
      </c>
      <c r="D32" s="19" t="s">
        <v>31</v>
      </c>
      <c r="E32" s="21" t="s">
        <v>2203</v>
      </c>
      <c r="F32" s="21" t="s">
        <v>2205</v>
      </c>
      <c r="G32" s="21" t="s">
        <v>2207</v>
      </c>
      <c r="H32" s="21" t="s">
        <v>2209</v>
      </c>
      <c r="I32" s="19" t="s">
        <v>28</v>
      </c>
      <c r="J32" s="19" t="s">
        <v>103</v>
      </c>
      <c r="K32" s="19">
        <v>25.0</v>
      </c>
      <c r="L32" s="15" t="s">
        <v>47</v>
      </c>
      <c r="M32" s="17"/>
      <c r="N32" s="17"/>
    </row>
    <row r="33" ht="14.25" customHeight="1">
      <c r="A33" s="12" t="s">
        <v>2214</v>
      </c>
      <c r="B33" s="11" t="s">
        <v>580</v>
      </c>
      <c r="C33" s="11" t="s">
        <v>2217</v>
      </c>
      <c r="D33" s="12" t="s">
        <v>31</v>
      </c>
      <c r="E33" s="11" t="s">
        <v>2179</v>
      </c>
      <c r="F33" s="11" t="s">
        <v>2220</v>
      </c>
      <c r="G33" s="11" t="s">
        <v>2222</v>
      </c>
      <c r="H33" s="11" t="s">
        <v>2224</v>
      </c>
      <c r="I33" s="12" t="s">
        <v>28</v>
      </c>
      <c r="J33" s="12" t="s">
        <v>75</v>
      </c>
      <c r="K33" s="12">
        <v>20.0</v>
      </c>
      <c r="L33" s="15" t="s">
        <v>47</v>
      </c>
      <c r="M33" s="17"/>
      <c r="N33" s="17"/>
    </row>
    <row r="34" ht="14.25" customHeight="1">
      <c r="A34" s="19" t="s">
        <v>2227</v>
      </c>
      <c r="B34" s="21" t="s">
        <v>580</v>
      </c>
      <c r="C34" s="21" t="s">
        <v>2228</v>
      </c>
      <c r="D34" s="19" t="s">
        <v>31</v>
      </c>
      <c r="E34" s="21" t="s">
        <v>2230</v>
      </c>
      <c r="F34" s="21" t="s">
        <v>2231</v>
      </c>
      <c r="G34" s="21" t="s">
        <v>2232</v>
      </c>
      <c r="H34" s="21" t="s">
        <v>2234</v>
      </c>
      <c r="I34" s="19" t="s">
        <v>29</v>
      </c>
      <c r="J34" s="19" t="s">
        <v>75</v>
      </c>
      <c r="K34" s="19">
        <v>20.0</v>
      </c>
      <c r="L34" s="15" t="s">
        <v>47</v>
      </c>
      <c r="M34" s="17"/>
      <c r="N34" s="17"/>
    </row>
    <row r="35" ht="14.25" customHeight="1">
      <c r="A35" s="12" t="s">
        <v>2239</v>
      </c>
      <c r="B35" s="11" t="s">
        <v>580</v>
      </c>
      <c r="C35" s="11" t="s">
        <v>2242</v>
      </c>
      <c r="D35" s="12" t="s">
        <v>31</v>
      </c>
      <c r="E35" s="11" t="s">
        <v>2244</v>
      </c>
      <c r="F35" s="11" t="s">
        <v>2245</v>
      </c>
      <c r="G35" s="11" t="s">
        <v>2246</v>
      </c>
      <c r="H35" s="11" t="s">
        <v>2247</v>
      </c>
      <c r="I35" s="12" t="s">
        <v>29</v>
      </c>
      <c r="J35" s="12" t="s">
        <v>75</v>
      </c>
      <c r="K35" s="12">
        <v>18.0</v>
      </c>
      <c r="L35" s="15" t="s">
        <v>47</v>
      </c>
      <c r="M35" s="17"/>
      <c r="N35" s="17"/>
    </row>
    <row r="36" ht="14.25" customHeight="1">
      <c r="A36" s="19" t="s">
        <v>2250</v>
      </c>
      <c r="B36" s="21" t="s">
        <v>580</v>
      </c>
      <c r="C36" s="21" t="s">
        <v>2251</v>
      </c>
      <c r="D36" s="19" t="s">
        <v>31</v>
      </c>
      <c r="E36" s="21" t="s">
        <v>2254</v>
      </c>
      <c r="F36" s="21" t="s">
        <v>2256</v>
      </c>
      <c r="G36" s="21" t="s">
        <v>2258</v>
      </c>
      <c r="H36" s="21" t="s">
        <v>2261</v>
      </c>
      <c r="I36" s="19" t="s">
        <v>28</v>
      </c>
      <c r="J36" s="19" t="s">
        <v>75</v>
      </c>
      <c r="K36" s="19">
        <v>25.0</v>
      </c>
      <c r="L36" s="15" t="s">
        <v>47</v>
      </c>
      <c r="M36" s="17"/>
      <c r="N36" s="17"/>
    </row>
    <row r="37" ht="14.25" customHeight="1">
      <c r="A37" s="12" t="s">
        <v>2264</v>
      </c>
      <c r="B37" s="11" t="s">
        <v>580</v>
      </c>
      <c r="C37" s="11" t="s">
        <v>2251</v>
      </c>
      <c r="D37" s="12" t="s">
        <v>31</v>
      </c>
      <c r="E37" s="11" t="s">
        <v>2266</v>
      </c>
      <c r="F37" s="11" t="s">
        <v>2267</v>
      </c>
      <c r="G37" s="11" t="s">
        <v>2270</v>
      </c>
      <c r="H37" s="11" t="s">
        <v>2272</v>
      </c>
      <c r="I37" s="12" t="s">
        <v>29</v>
      </c>
      <c r="J37" s="12" t="s">
        <v>103</v>
      </c>
      <c r="K37" s="12">
        <v>10.0</v>
      </c>
      <c r="L37" s="15" t="s">
        <v>47</v>
      </c>
      <c r="M37" s="17"/>
      <c r="N37" s="17"/>
    </row>
    <row r="38" ht="14.25" customHeight="1">
      <c r="A38" s="19" t="s">
        <v>2278</v>
      </c>
      <c r="B38" s="21" t="s">
        <v>580</v>
      </c>
      <c r="C38" s="21" t="s">
        <v>2281</v>
      </c>
      <c r="D38" s="19" t="s">
        <v>31</v>
      </c>
      <c r="E38" s="21" t="s">
        <v>2282</v>
      </c>
      <c r="F38" s="21" t="s">
        <v>2284</v>
      </c>
      <c r="G38" s="21" t="s">
        <v>2286</v>
      </c>
      <c r="H38" s="21" t="s">
        <v>2288</v>
      </c>
      <c r="I38" s="19" t="s">
        <v>28</v>
      </c>
      <c r="J38" s="19" t="s">
        <v>352</v>
      </c>
      <c r="K38" s="19">
        <v>45.0</v>
      </c>
      <c r="L38" s="15" t="s">
        <v>47</v>
      </c>
      <c r="M38" s="17"/>
      <c r="N38" s="17"/>
    </row>
    <row r="39" ht="14.25" customHeight="1">
      <c r="A39" s="12" t="s">
        <v>2291</v>
      </c>
      <c r="B39" s="11" t="s">
        <v>580</v>
      </c>
      <c r="C39" s="11" t="s">
        <v>2281</v>
      </c>
      <c r="D39" s="12" t="s">
        <v>31</v>
      </c>
      <c r="E39" s="11" t="s">
        <v>2266</v>
      </c>
      <c r="F39" s="11" t="s">
        <v>2314</v>
      </c>
      <c r="G39" s="11" t="s">
        <v>2315</v>
      </c>
      <c r="H39" s="11" t="s">
        <v>2316</v>
      </c>
      <c r="I39" s="12" t="s">
        <v>29</v>
      </c>
      <c r="J39" s="12" t="s">
        <v>103</v>
      </c>
      <c r="K39" s="12">
        <v>10.0</v>
      </c>
      <c r="L39" s="15" t="s">
        <v>47</v>
      </c>
      <c r="M39" s="17"/>
      <c r="N39" s="17"/>
    </row>
    <row r="40" ht="14.25" customHeight="1">
      <c r="A40" s="19" t="s">
        <v>2321</v>
      </c>
      <c r="B40" s="21" t="s">
        <v>580</v>
      </c>
      <c r="C40" s="21" t="s">
        <v>2281</v>
      </c>
      <c r="D40" s="19" t="s">
        <v>31</v>
      </c>
      <c r="E40" s="21" t="s">
        <v>2323</v>
      </c>
      <c r="F40" s="21" t="s">
        <v>2325</v>
      </c>
      <c r="G40" s="21" t="s">
        <v>2327</v>
      </c>
      <c r="H40" s="21" t="s">
        <v>2329</v>
      </c>
      <c r="I40" s="19" t="s">
        <v>28</v>
      </c>
      <c r="J40" s="19" t="s">
        <v>103</v>
      </c>
      <c r="K40" s="19">
        <v>25.0</v>
      </c>
      <c r="L40" s="15" t="s">
        <v>47</v>
      </c>
      <c r="M40" s="17"/>
      <c r="N40" s="17"/>
    </row>
    <row r="41" ht="14.25" customHeight="1">
      <c r="A41" s="12" t="s">
        <v>2334</v>
      </c>
      <c r="B41" s="11" t="s">
        <v>580</v>
      </c>
      <c r="C41" s="11" t="s">
        <v>2281</v>
      </c>
      <c r="D41" s="12" t="s">
        <v>31</v>
      </c>
      <c r="E41" s="11" t="s">
        <v>2337</v>
      </c>
      <c r="F41" s="11" t="s">
        <v>2338</v>
      </c>
      <c r="G41" s="11" t="s">
        <v>2340</v>
      </c>
      <c r="H41" s="11" t="s">
        <v>2341</v>
      </c>
      <c r="I41" s="12" t="s">
        <v>28</v>
      </c>
      <c r="J41" s="12" t="s">
        <v>103</v>
      </c>
      <c r="K41" s="12">
        <v>30.0</v>
      </c>
      <c r="L41" s="15" t="s">
        <v>47</v>
      </c>
      <c r="M41" s="17"/>
      <c r="N41" s="17"/>
    </row>
    <row r="42" ht="14.25" customHeight="1">
      <c r="A42" s="19" t="s">
        <v>2345</v>
      </c>
      <c r="B42" s="21" t="s">
        <v>580</v>
      </c>
      <c r="C42" s="21" t="s">
        <v>2281</v>
      </c>
      <c r="D42" s="19" t="s">
        <v>31</v>
      </c>
      <c r="E42" s="21" t="s">
        <v>2349</v>
      </c>
      <c r="F42" s="21" t="s">
        <v>2351</v>
      </c>
      <c r="G42" s="21" t="s">
        <v>2353</v>
      </c>
      <c r="H42" s="21" t="s">
        <v>2354</v>
      </c>
      <c r="I42" s="19" t="s">
        <v>28</v>
      </c>
      <c r="J42" s="19" t="s">
        <v>103</v>
      </c>
      <c r="K42" s="19">
        <v>20.0</v>
      </c>
      <c r="L42" s="15" t="s">
        <v>47</v>
      </c>
      <c r="M42" s="17"/>
      <c r="N42" s="17"/>
    </row>
    <row r="43" ht="14.25" customHeight="1">
      <c r="A43" s="12" t="s">
        <v>2356</v>
      </c>
      <c r="B43" s="11" t="s">
        <v>580</v>
      </c>
      <c r="C43" s="11" t="s">
        <v>2281</v>
      </c>
      <c r="D43" s="12" t="s">
        <v>31</v>
      </c>
      <c r="E43" s="11" t="s">
        <v>2358</v>
      </c>
      <c r="F43" s="11" t="s">
        <v>2360</v>
      </c>
      <c r="G43" s="11" t="s">
        <v>2362</v>
      </c>
      <c r="H43" s="11" t="s">
        <v>2364</v>
      </c>
      <c r="I43" s="12" t="s">
        <v>28</v>
      </c>
      <c r="J43" s="12" t="s">
        <v>352</v>
      </c>
      <c r="K43" s="12">
        <v>45.0</v>
      </c>
      <c r="L43" s="15" t="s">
        <v>47</v>
      </c>
      <c r="M43" s="17"/>
      <c r="N43" s="17"/>
    </row>
    <row r="44" ht="14.25" customHeight="1">
      <c r="A44" s="19" t="s">
        <v>2369</v>
      </c>
      <c r="B44" s="21" t="s">
        <v>580</v>
      </c>
      <c r="C44" s="21" t="s">
        <v>2370</v>
      </c>
      <c r="D44" s="19" t="s">
        <v>31</v>
      </c>
      <c r="E44" s="21" t="s">
        <v>1990</v>
      </c>
      <c r="F44" s="21" t="s">
        <v>2372</v>
      </c>
      <c r="G44" s="21" t="s">
        <v>2373</v>
      </c>
      <c r="H44" s="21" t="s">
        <v>2374</v>
      </c>
      <c r="I44" s="19" t="s">
        <v>29</v>
      </c>
      <c r="J44" s="19" t="s">
        <v>75</v>
      </c>
      <c r="K44" s="19">
        <v>15.0</v>
      </c>
      <c r="L44" s="15" t="s">
        <v>47</v>
      </c>
      <c r="M44" s="17"/>
      <c r="N44" s="17"/>
    </row>
    <row r="45" ht="14.25" customHeight="1">
      <c r="A45" s="12" t="s">
        <v>2379</v>
      </c>
      <c r="B45" s="11" t="s">
        <v>580</v>
      </c>
      <c r="C45" s="11" t="s">
        <v>2381</v>
      </c>
      <c r="D45" s="12" t="s">
        <v>31</v>
      </c>
      <c r="E45" s="11" t="s">
        <v>1990</v>
      </c>
      <c r="F45" s="11" t="s">
        <v>2383</v>
      </c>
      <c r="G45" s="11" t="s">
        <v>2385</v>
      </c>
      <c r="H45" s="11" t="s">
        <v>2386</v>
      </c>
      <c r="I45" s="12" t="s">
        <v>29</v>
      </c>
      <c r="J45" s="12" t="s">
        <v>75</v>
      </c>
      <c r="K45" s="12">
        <v>12.0</v>
      </c>
      <c r="L45" s="15" t="s">
        <v>47</v>
      </c>
      <c r="M45" s="17"/>
      <c r="N45" s="17"/>
    </row>
    <row r="46" ht="14.25" customHeight="1">
      <c r="A46" s="19" t="s">
        <v>2388</v>
      </c>
      <c r="B46" s="21" t="s">
        <v>580</v>
      </c>
      <c r="C46" s="21" t="s">
        <v>2389</v>
      </c>
      <c r="D46" s="19" t="s">
        <v>31</v>
      </c>
      <c r="E46" s="21" t="s">
        <v>2392</v>
      </c>
      <c r="F46" s="21" t="s">
        <v>2394</v>
      </c>
      <c r="G46" s="21" t="s">
        <v>2395</v>
      </c>
      <c r="H46" s="21" t="s">
        <v>2396</v>
      </c>
      <c r="I46" s="19" t="s">
        <v>28</v>
      </c>
      <c r="J46" s="19" t="s">
        <v>102</v>
      </c>
      <c r="K46" s="19">
        <v>25.0</v>
      </c>
      <c r="L46" s="15" t="s">
        <v>47</v>
      </c>
      <c r="M46" s="17"/>
      <c r="N46" s="17"/>
    </row>
    <row r="47" ht="14.25" customHeight="1">
      <c r="A47" s="12" t="s">
        <v>2399</v>
      </c>
      <c r="B47" s="11" t="s">
        <v>580</v>
      </c>
      <c r="C47" s="11" t="s">
        <v>1048</v>
      </c>
      <c r="D47" s="12" t="s">
        <v>183</v>
      </c>
      <c r="E47" s="11" t="s">
        <v>2402</v>
      </c>
      <c r="F47" s="11" t="s">
        <v>2405</v>
      </c>
      <c r="G47" s="11" t="s">
        <v>2408</v>
      </c>
      <c r="H47" s="11" t="s">
        <v>2410</v>
      </c>
      <c r="I47" s="12" t="s">
        <v>28</v>
      </c>
      <c r="J47" s="12" t="s">
        <v>352</v>
      </c>
      <c r="K47" s="12">
        <v>35.0</v>
      </c>
      <c r="L47" s="15" t="s">
        <v>47</v>
      </c>
      <c r="M47" s="17"/>
      <c r="N47" s="17"/>
    </row>
    <row r="48" ht="14.25" customHeight="1">
      <c r="A48" s="19" t="s">
        <v>2413</v>
      </c>
      <c r="B48" s="21" t="s">
        <v>580</v>
      </c>
      <c r="C48" s="21" t="s">
        <v>1048</v>
      </c>
      <c r="D48" s="19" t="s">
        <v>183</v>
      </c>
      <c r="E48" s="21" t="s">
        <v>2417</v>
      </c>
      <c r="F48" s="21" t="s">
        <v>2418</v>
      </c>
      <c r="G48" s="21" t="s">
        <v>2419</v>
      </c>
      <c r="H48" s="21" t="s">
        <v>2421</v>
      </c>
      <c r="I48" s="19" t="s">
        <v>28</v>
      </c>
      <c r="J48" s="19" t="s">
        <v>352</v>
      </c>
      <c r="K48" s="19">
        <v>35.0</v>
      </c>
      <c r="L48" s="15" t="s">
        <v>47</v>
      </c>
      <c r="M48" s="17"/>
      <c r="N48" s="17"/>
    </row>
    <row r="49" ht="14.25" customHeight="1">
      <c r="A49" s="12" t="s">
        <v>2429</v>
      </c>
      <c r="B49" s="11" t="s">
        <v>580</v>
      </c>
      <c r="C49" s="11" t="s">
        <v>1767</v>
      </c>
      <c r="D49" s="12" t="s">
        <v>31</v>
      </c>
      <c r="E49" s="11" t="s">
        <v>1768</v>
      </c>
      <c r="F49" s="11" t="s">
        <v>2431</v>
      </c>
      <c r="G49" s="11" t="s">
        <v>2433</v>
      </c>
      <c r="H49" s="11" t="s">
        <v>2434</v>
      </c>
      <c r="I49" s="12" t="s">
        <v>28</v>
      </c>
      <c r="J49" s="12" t="s">
        <v>114</v>
      </c>
      <c r="K49" s="12">
        <v>30.0</v>
      </c>
      <c r="L49" s="15" t="s">
        <v>47</v>
      </c>
      <c r="M49" s="17"/>
      <c r="N49" s="17"/>
    </row>
    <row r="50" ht="14.25" customHeight="1"/>
    <row r="51" ht="14.25" customHeight="1">
      <c r="J51" s="3" t="s">
        <v>789</v>
      </c>
      <c r="K51" s="27">
        <f>SUM(K3:K49)</f>
        <v>957</v>
      </c>
    </row>
    <row r="52" ht="14.25" customHeight="1">
      <c r="J52" s="3" t="s">
        <v>808</v>
      </c>
      <c r="K52" s="28">
        <f>K51/60</f>
        <v>15.95</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49"/>
  <mergeCells count="1">
    <mergeCell ref="A1:N1"/>
  </mergeCells>
  <conditionalFormatting sqref="L3:L49">
    <cfRule type="cellIs" dxfId="0" priority="1" operator="equal">
      <formula>"Pass"</formula>
    </cfRule>
  </conditionalFormatting>
  <conditionalFormatting sqref="L3:L49">
    <cfRule type="cellIs" dxfId="1" priority="2" operator="equal">
      <formula>"Fail"</formula>
    </cfRule>
  </conditionalFormatting>
  <conditionalFormatting sqref="L3:L49">
    <cfRule type="cellIs" dxfId="2" priority="3" operator="equal">
      <formula>"Blocked"</formula>
    </cfRule>
  </conditionalFormatting>
  <dataValidations>
    <dataValidation type="list" allowBlank="1" sqref="L3:L49">
      <formula1>"Not Run,Pass,Fail,Blocked,N-A"</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1948</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1963</v>
      </c>
      <c r="B3" s="11" t="s">
        <v>642</v>
      </c>
      <c r="C3" s="11" t="s">
        <v>1967</v>
      </c>
      <c r="D3" s="12" t="s">
        <v>31</v>
      </c>
      <c r="E3" s="11" t="s">
        <v>193</v>
      </c>
      <c r="F3" s="11" t="s">
        <v>1968</v>
      </c>
      <c r="G3" s="11" t="s">
        <v>1969</v>
      </c>
      <c r="H3" s="11" t="s">
        <v>1971</v>
      </c>
      <c r="I3" s="12" t="s">
        <v>29</v>
      </c>
      <c r="J3" s="12" t="s">
        <v>75</v>
      </c>
      <c r="K3" s="12">
        <v>10.0</v>
      </c>
      <c r="L3" s="15" t="s">
        <v>47</v>
      </c>
      <c r="M3" s="17"/>
      <c r="N3" s="17"/>
    </row>
    <row r="4" ht="14.25" customHeight="1">
      <c r="A4" s="19" t="s">
        <v>1987</v>
      </c>
      <c r="B4" s="21" t="s">
        <v>642</v>
      </c>
      <c r="C4" s="21" t="s">
        <v>1967</v>
      </c>
      <c r="D4" s="19" t="s">
        <v>31</v>
      </c>
      <c r="E4" s="21" t="s">
        <v>1993</v>
      </c>
      <c r="F4" s="21" t="s">
        <v>1995</v>
      </c>
      <c r="G4" s="21" t="s">
        <v>1996</v>
      </c>
      <c r="H4" s="21" t="s">
        <v>1997</v>
      </c>
      <c r="I4" s="19" t="s">
        <v>29</v>
      </c>
      <c r="J4" s="19" t="s">
        <v>102</v>
      </c>
      <c r="K4" s="19">
        <v>18.0</v>
      </c>
      <c r="L4" s="15" t="s">
        <v>47</v>
      </c>
      <c r="M4" s="17"/>
      <c r="N4" s="17"/>
    </row>
    <row r="5" ht="14.25" customHeight="1">
      <c r="A5" s="12" t="s">
        <v>2001</v>
      </c>
      <c r="B5" s="11" t="s">
        <v>642</v>
      </c>
      <c r="C5" s="11" t="s">
        <v>1967</v>
      </c>
      <c r="D5" s="12" t="s">
        <v>31</v>
      </c>
      <c r="E5" s="11" t="s">
        <v>1993</v>
      </c>
      <c r="F5" s="11" t="s">
        <v>2003</v>
      </c>
      <c r="G5" s="11" t="s">
        <v>2004</v>
      </c>
      <c r="H5" s="11" t="s">
        <v>2006</v>
      </c>
      <c r="I5" s="12" t="s">
        <v>29</v>
      </c>
      <c r="J5" s="12" t="s">
        <v>75</v>
      </c>
      <c r="K5" s="12">
        <v>12.0</v>
      </c>
      <c r="L5" s="15" t="s">
        <v>47</v>
      </c>
      <c r="M5" s="17"/>
      <c r="N5" s="17"/>
    </row>
    <row r="6" ht="14.25" customHeight="1">
      <c r="A6" s="19" t="s">
        <v>2010</v>
      </c>
      <c r="B6" s="21" t="s">
        <v>642</v>
      </c>
      <c r="C6" s="21" t="s">
        <v>2012</v>
      </c>
      <c r="D6" s="19" t="s">
        <v>31</v>
      </c>
      <c r="E6" s="21" t="s">
        <v>2013</v>
      </c>
      <c r="F6" s="21" t="s">
        <v>2014</v>
      </c>
      <c r="G6" s="21" t="s">
        <v>934</v>
      </c>
      <c r="H6" s="21" t="s">
        <v>2016</v>
      </c>
      <c r="I6" s="19" t="s">
        <v>29</v>
      </c>
      <c r="J6" s="19" t="s">
        <v>197</v>
      </c>
      <c r="K6" s="19">
        <v>10.0</v>
      </c>
      <c r="L6" s="15" t="s">
        <v>47</v>
      </c>
      <c r="M6" s="17"/>
      <c r="N6" s="17"/>
    </row>
    <row r="7" ht="14.25" customHeight="1">
      <c r="A7" s="12" t="s">
        <v>2020</v>
      </c>
      <c r="B7" s="11" t="s">
        <v>642</v>
      </c>
      <c r="C7" s="11" t="s">
        <v>2012</v>
      </c>
      <c r="D7" s="12" t="s">
        <v>31</v>
      </c>
      <c r="E7" s="11" t="s">
        <v>2013</v>
      </c>
      <c r="F7" s="11" t="s">
        <v>2022</v>
      </c>
      <c r="G7" s="11" t="s">
        <v>2023</v>
      </c>
      <c r="H7" s="11" t="s">
        <v>2024</v>
      </c>
      <c r="I7" s="12" t="s">
        <v>28</v>
      </c>
      <c r="J7" s="12" t="s">
        <v>75</v>
      </c>
      <c r="K7" s="12">
        <v>15.0</v>
      </c>
      <c r="L7" s="15" t="s">
        <v>47</v>
      </c>
      <c r="M7" s="17"/>
      <c r="N7" s="17"/>
    </row>
    <row r="8" ht="14.25" customHeight="1">
      <c r="A8" s="19" t="s">
        <v>2028</v>
      </c>
      <c r="B8" s="21" t="s">
        <v>642</v>
      </c>
      <c r="C8" s="21" t="s">
        <v>2012</v>
      </c>
      <c r="D8" s="19" t="s">
        <v>31</v>
      </c>
      <c r="E8" s="21" t="s">
        <v>2013</v>
      </c>
      <c r="F8" s="21" t="s">
        <v>2030</v>
      </c>
      <c r="G8" s="21" t="s">
        <v>2031</v>
      </c>
      <c r="H8" s="21" t="s">
        <v>2032</v>
      </c>
      <c r="I8" s="19" t="s">
        <v>29</v>
      </c>
      <c r="J8" s="19" t="s">
        <v>75</v>
      </c>
      <c r="K8" s="19">
        <v>18.0</v>
      </c>
      <c r="L8" s="15" t="s">
        <v>47</v>
      </c>
      <c r="M8" s="17"/>
      <c r="N8" s="17"/>
    </row>
    <row r="9" ht="14.25" customHeight="1">
      <c r="A9" s="12" t="s">
        <v>2036</v>
      </c>
      <c r="B9" s="11" t="s">
        <v>642</v>
      </c>
      <c r="C9" s="11" t="s">
        <v>2012</v>
      </c>
      <c r="D9" s="12" t="s">
        <v>31</v>
      </c>
      <c r="E9" s="11" t="s">
        <v>2013</v>
      </c>
      <c r="F9" s="11" t="s">
        <v>2039</v>
      </c>
      <c r="G9" s="11" t="s">
        <v>2040</v>
      </c>
      <c r="H9" s="11" t="s">
        <v>2041</v>
      </c>
      <c r="I9" s="12" t="s">
        <v>29</v>
      </c>
      <c r="J9" s="12" t="s">
        <v>102</v>
      </c>
      <c r="K9" s="12">
        <v>20.0</v>
      </c>
      <c r="L9" s="15" t="s">
        <v>47</v>
      </c>
      <c r="M9" s="17"/>
      <c r="N9" s="17"/>
    </row>
    <row r="10" ht="14.25" customHeight="1">
      <c r="A10" s="19" t="s">
        <v>2044</v>
      </c>
      <c r="B10" s="21" t="s">
        <v>642</v>
      </c>
      <c r="C10" s="21" t="s">
        <v>2012</v>
      </c>
      <c r="D10" s="19" t="s">
        <v>31</v>
      </c>
      <c r="E10" s="21" t="s">
        <v>2013</v>
      </c>
      <c r="F10" s="21" t="s">
        <v>2047</v>
      </c>
      <c r="G10" s="21" t="s">
        <v>2048</v>
      </c>
      <c r="H10" s="21" t="s">
        <v>2049</v>
      </c>
      <c r="I10" s="19" t="s">
        <v>29</v>
      </c>
      <c r="J10" s="19" t="s">
        <v>102</v>
      </c>
      <c r="K10" s="19">
        <v>20.0</v>
      </c>
      <c r="L10" s="15" t="s">
        <v>47</v>
      </c>
      <c r="M10" s="17"/>
      <c r="N10" s="17"/>
    </row>
    <row r="11" ht="14.25" customHeight="1">
      <c r="A11" s="12" t="s">
        <v>2054</v>
      </c>
      <c r="B11" s="11" t="s">
        <v>642</v>
      </c>
      <c r="C11" s="11" t="s">
        <v>2012</v>
      </c>
      <c r="D11" s="12" t="s">
        <v>31</v>
      </c>
      <c r="E11" s="11" t="s">
        <v>2013</v>
      </c>
      <c r="F11" s="11" t="s">
        <v>2056</v>
      </c>
      <c r="G11" s="11" t="s">
        <v>2057</v>
      </c>
      <c r="H11" s="11" t="s">
        <v>2058</v>
      </c>
      <c r="I11" s="12" t="s">
        <v>28</v>
      </c>
      <c r="J11" s="12" t="s">
        <v>75</v>
      </c>
      <c r="K11" s="12">
        <v>25.0</v>
      </c>
      <c r="L11" s="15" t="s">
        <v>47</v>
      </c>
      <c r="M11" s="17"/>
      <c r="N11" s="17"/>
    </row>
    <row r="12" ht="14.25" customHeight="1">
      <c r="A12" s="19" t="s">
        <v>2061</v>
      </c>
      <c r="B12" s="21" t="s">
        <v>642</v>
      </c>
      <c r="C12" s="21" t="s">
        <v>2012</v>
      </c>
      <c r="D12" s="19" t="s">
        <v>31</v>
      </c>
      <c r="E12" s="21" t="s">
        <v>2064</v>
      </c>
      <c r="F12" s="21" t="s">
        <v>2065</v>
      </c>
      <c r="G12" s="21" t="s">
        <v>2066</v>
      </c>
      <c r="H12" s="21" t="s">
        <v>2067</v>
      </c>
      <c r="I12" s="19" t="s">
        <v>28</v>
      </c>
      <c r="J12" s="19" t="s">
        <v>75</v>
      </c>
      <c r="K12" s="19">
        <v>18.0</v>
      </c>
      <c r="L12" s="15" t="s">
        <v>47</v>
      </c>
      <c r="M12" s="17"/>
      <c r="N12" s="17"/>
    </row>
    <row r="13" ht="14.25" customHeight="1">
      <c r="A13" s="12" t="s">
        <v>2069</v>
      </c>
      <c r="B13" s="11" t="s">
        <v>642</v>
      </c>
      <c r="C13" s="11" t="s">
        <v>2012</v>
      </c>
      <c r="D13" s="12" t="s">
        <v>31</v>
      </c>
      <c r="E13" s="11" t="s">
        <v>2064</v>
      </c>
      <c r="F13" s="11" t="s">
        <v>2071</v>
      </c>
      <c r="G13" s="11" t="s">
        <v>2073</v>
      </c>
      <c r="H13" s="11" t="s">
        <v>2075</v>
      </c>
      <c r="I13" s="12" t="s">
        <v>29</v>
      </c>
      <c r="J13" s="12" t="s">
        <v>75</v>
      </c>
      <c r="K13" s="12">
        <v>25.0</v>
      </c>
      <c r="L13" s="15" t="s">
        <v>47</v>
      </c>
      <c r="M13" s="17"/>
      <c r="N13" s="17"/>
    </row>
    <row r="14" ht="14.25" customHeight="1">
      <c r="A14" s="19" t="s">
        <v>2077</v>
      </c>
      <c r="B14" s="21" t="s">
        <v>642</v>
      </c>
      <c r="C14" s="21" t="s">
        <v>2012</v>
      </c>
      <c r="D14" s="19" t="s">
        <v>31</v>
      </c>
      <c r="E14" s="21" t="s">
        <v>2013</v>
      </c>
      <c r="F14" s="21" t="s">
        <v>2078</v>
      </c>
      <c r="G14" s="21" t="s">
        <v>2080</v>
      </c>
      <c r="H14" s="21" t="s">
        <v>2083</v>
      </c>
      <c r="I14" s="19" t="s">
        <v>30</v>
      </c>
      <c r="J14" s="19" t="s">
        <v>197</v>
      </c>
      <c r="K14" s="19">
        <v>10.0</v>
      </c>
      <c r="L14" s="15" t="s">
        <v>47</v>
      </c>
      <c r="M14" s="17"/>
      <c r="N14" s="17"/>
    </row>
    <row r="15" ht="14.25" customHeight="1">
      <c r="A15" s="12" t="s">
        <v>2084</v>
      </c>
      <c r="B15" s="11" t="s">
        <v>642</v>
      </c>
      <c r="C15" s="11" t="s">
        <v>2086</v>
      </c>
      <c r="D15" s="12" t="s">
        <v>31</v>
      </c>
      <c r="E15" s="11" t="s">
        <v>2013</v>
      </c>
      <c r="F15" s="11" t="s">
        <v>2087</v>
      </c>
      <c r="G15" s="11" t="s">
        <v>2037</v>
      </c>
      <c r="H15" s="11" t="s">
        <v>2091</v>
      </c>
      <c r="I15" s="12" t="s">
        <v>28</v>
      </c>
      <c r="J15" s="12" t="s">
        <v>75</v>
      </c>
      <c r="K15" s="12">
        <v>12.0</v>
      </c>
      <c r="L15" s="15" t="s">
        <v>47</v>
      </c>
      <c r="M15" s="17"/>
      <c r="N15" s="17"/>
    </row>
    <row r="16" ht="14.25" customHeight="1">
      <c r="A16" s="19" t="s">
        <v>2094</v>
      </c>
      <c r="B16" s="21" t="s">
        <v>642</v>
      </c>
      <c r="C16" s="21" t="s">
        <v>2086</v>
      </c>
      <c r="D16" s="19" t="s">
        <v>31</v>
      </c>
      <c r="E16" s="21" t="s">
        <v>2101</v>
      </c>
      <c r="F16" s="21" t="s">
        <v>2103</v>
      </c>
      <c r="G16" s="21" t="s">
        <v>2045</v>
      </c>
      <c r="H16" s="21" t="s">
        <v>2104</v>
      </c>
      <c r="I16" s="19" t="s">
        <v>28</v>
      </c>
      <c r="J16" s="19" t="s">
        <v>197</v>
      </c>
      <c r="K16" s="19">
        <v>10.0</v>
      </c>
      <c r="L16" s="15" t="s">
        <v>47</v>
      </c>
      <c r="M16" s="17"/>
      <c r="N16" s="17"/>
    </row>
    <row r="17" ht="14.25" customHeight="1">
      <c r="A17" s="12" t="s">
        <v>2106</v>
      </c>
      <c r="B17" s="11" t="s">
        <v>642</v>
      </c>
      <c r="C17" s="11" t="s">
        <v>2086</v>
      </c>
      <c r="D17" s="12" t="s">
        <v>31</v>
      </c>
      <c r="E17" s="11" t="s">
        <v>2101</v>
      </c>
      <c r="F17" s="11" t="s">
        <v>2110</v>
      </c>
      <c r="G17" s="11" t="s">
        <v>2111</v>
      </c>
      <c r="H17" s="11" t="s">
        <v>2112</v>
      </c>
      <c r="I17" s="12" t="s">
        <v>28</v>
      </c>
      <c r="J17" s="12" t="s">
        <v>103</v>
      </c>
      <c r="K17" s="12">
        <v>12.0</v>
      </c>
      <c r="L17" s="15" t="s">
        <v>47</v>
      </c>
      <c r="M17" s="17"/>
      <c r="N17" s="17"/>
    </row>
    <row r="18" ht="14.25" customHeight="1">
      <c r="A18" s="19" t="s">
        <v>2114</v>
      </c>
      <c r="B18" s="21" t="s">
        <v>642</v>
      </c>
      <c r="C18" s="21" t="s">
        <v>2086</v>
      </c>
      <c r="D18" s="19" t="s">
        <v>31</v>
      </c>
      <c r="E18" s="21" t="s">
        <v>2117</v>
      </c>
      <c r="F18" s="21" t="s">
        <v>2119</v>
      </c>
      <c r="G18" s="21" t="s">
        <v>2121</v>
      </c>
      <c r="H18" s="21" t="s">
        <v>2122</v>
      </c>
      <c r="I18" s="19" t="s">
        <v>29</v>
      </c>
      <c r="J18" s="19" t="s">
        <v>103</v>
      </c>
      <c r="K18" s="19">
        <v>18.0</v>
      </c>
      <c r="L18" s="15" t="s">
        <v>47</v>
      </c>
      <c r="M18" s="17"/>
      <c r="N18" s="17"/>
    </row>
    <row r="19" ht="14.25" customHeight="1">
      <c r="A19" s="12" t="s">
        <v>2128</v>
      </c>
      <c r="B19" s="11" t="s">
        <v>642</v>
      </c>
      <c r="C19" s="11" t="s">
        <v>2086</v>
      </c>
      <c r="D19" s="12" t="s">
        <v>31</v>
      </c>
      <c r="E19" s="11" t="s">
        <v>2101</v>
      </c>
      <c r="F19" s="11" t="s">
        <v>2133</v>
      </c>
      <c r="G19" s="11" t="s">
        <v>2134</v>
      </c>
      <c r="H19" s="11" t="s">
        <v>2136</v>
      </c>
      <c r="I19" s="12" t="s">
        <v>28</v>
      </c>
      <c r="J19" s="12" t="s">
        <v>75</v>
      </c>
      <c r="K19" s="12">
        <v>15.0</v>
      </c>
      <c r="L19" s="15" t="s">
        <v>47</v>
      </c>
      <c r="M19" s="17"/>
      <c r="N19" s="17"/>
    </row>
    <row r="20" ht="14.25" customHeight="1">
      <c r="A20" s="19" t="s">
        <v>2142</v>
      </c>
      <c r="B20" s="21" t="s">
        <v>642</v>
      </c>
      <c r="C20" s="21" t="s">
        <v>2086</v>
      </c>
      <c r="D20" s="19" t="s">
        <v>31</v>
      </c>
      <c r="E20" s="21" t="s">
        <v>2101</v>
      </c>
      <c r="F20" s="21" t="s">
        <v>2146</v>
      </c>
      <c r="G20" s="21" t="s">
        <v>2148</v>
      </c>
      <c r="H20" s="21" t="s">
        <v>2149</v>
      </c>
      <c r="I20" s="19" t="s">
        <v>28</v>
      </c>
      <c r="J20" s="19" t="s">
        <v>352</v>
      </c>
      <c r="K20" s="19">
        <v>30.0</v>
      </c>
      <c r="L20" s="15" t="s">
        <v>47</v>
      </c>
      <c r="M20" s="17"/>
      <c r="N20" s="17"/>
    </row>
    <row r="21" ht="14.25" customHeight="1">
      <c r="A21" s="12" t="s">
        <v>2156</v>
      </c>
      <c r="B21" s="11" t="s">
        <v>642</v>
      </c>
      <c r="C21" s="11" t="s">
        <v>2086</v>
      </c>
      <c r="D21" s="12" t="s">
        <v>31</v>
      </c>
      <c r="E21" s="11" t="s">
        <v>2101</v>
      </c>
      <c r="F21" s="11" t="s">
        <v>2160</v>
      </c>
      <c r="G21" s="11" t="s">
        <v>2161</v>
      </c>
      <c r="H21" s="11" t="s">
        <v>2163</v>
      </c>
      <c r="I21" s="12" t="s">
        <v>28</v>
      </c>
      <c r="J21" s="12" t="s">
        <v>75</v>
      </c>
      <c r="K21" s="12">
        <v>15.0</v>
      </c>
      <c r="L21" s="15" t="s">
        <v>47</v>
      </c>
      <c r="M21" s="17"/>
      <c r="N21" s="17"/>
    </row>
    <row r="22" ht="14.25" customHeight="1">
      <c r="A22" s="19" t="s">
        <v>2172</v>
      </c>
      <c r="B22" s="21" t="s">
        <v>642</v>
      </c>
      <c r="C22" s="21" t="s">
        <v>2086</v>
      </c>
      <c r="D22" s="19" t="s">
        <v>31</v>
      </c>
      <c r="E22" s="21" t="s">
        <v>2101</v>
      </c>
      <c r="F22" s="21" t="s">
        <v>2174</v>
      </c>
      <c r="G22" s="21" t="s">
        <v>2177</v>
      </c>
      <c r="H22" s="21" t="s">
        <v>2180</v>
      </c>
      <c r="I22" s="19" t="s">
        <v>28</v>
      </c>
      <c r="J22" s="19" t="s">
        <v>75</v>
      </c>
      <c r="K22" s="19">
        <v>18.0</v>
      </c>
      <c r="L22" s="15" t="s">
        <v>47</v>
      </c>
      <c r="M22" s="17"/>
      <c r="N22" s="17"/>
    </row>
    <row r="23" ht="14.25" customHeight="1">
      <c r="A23" s="12" t="s">
        <v>2187</v>
      </c>
      <c r="B23" s="11" t="s">
        <v>642</v>
      </c>
      <c r="C23" s="11" t="s">
        <v>2086</v>
      </c>
      <c r="D23" s="12" t="s">
        <v>31</v>
      </c>
      <c r="E23" s="11" t="s">
        <v>2101</v>
      </c>
      <c r="F23" s="11" t="s">
        <v>2193</v>
      </c>
      <c r="G23" s="11" t="s">
        <v>2195</v>
      </c>
      <c r="H23" s="11" t="s">
        <v>2196</v>
      </c>
      <c r="I23" s="12" t="s">
        <v>29</v>
      </c>
      <c r="J23" s="12" t="s">
        <v>75</v>
      </c>
      <c r="K23" s="12">
        <v>15.0</v>
      </c>
      <c r="L23" s="15" t="s">
        <v>47</v>
      </c>
      <c r="M23" s="17"/>
      <c r="N23" s="17"/>
    </row>
    <row r="24" ht="14.25" customHeight="1">
      <c r="A24" s="19" t="s">
        <v>2202</v>
      </c>
      <c r="B24" s="21" t="s">
        <v>642</v>
      </c>
      <c r="C24" s="21" t="s">
        <v>2086</v>
      </c>
      <c r="D24" s="19" t="s">
        <v>31</v>
      </c>
      <c r="E24" s="21" t="s">
        <v>2204</v>
      </c>
      <c r="F24" s="21" t="s">
        <v>2206</v>
      </c>
      <c r="G24" s="21" t="s">
        <v>2208</v>
      </c>
      <c r="H24" s="21" t="s">
        <v>2210</v>
      </c>
      <c r="I24" s="19" t="s">
        <v>28</v>
      </c>
      <c r="J24" s="19" t="s">
        <v>352</v>
      </c>
      <c r="K24" s="19">
        <v>30.0</v>
      </c>
      <c r="L24" s="15" t="s">
        <v>47</v>
      </c>
      <c r="M24" s="17"/>
      <c r="N24" s="17"/>
    </row>
    <row r="25" ht="14.25" customHeight="1">
      <c r="A25" s="12" t="s">
        <v>2215</v>
      </c>
      <c r="B25" s="11" t="s">
        <v>642</v>
      </c>
      <c r="C25" s="11" t="s">
        <v>2086</v>
      </c>
      <c r="D25" s="12" t="s">
        <v>31</v>
      </c>
      <c r="E25" s="11" t="s">
        <v>2221</v>
      </c>
      <c r="F25" s="11" t="s">
        <v>2223</v>
      </c>
      <c r="G25" s="11" t="s">
        <v>2225</v>
      </c>
      <c r="H25" s="11" t="s">
        <v>2226</v>
      </c>
      <c r="I25" s="12" t="s">
        <v>28</v>
      </c>
      <c r="J25" s="12" t="s">
        <v>75</v>
      </c>
      <c r="K25" s="12">
        <v>18.0</v>
      </c>
      <c r="L25" s="15" t="s">
        <v>47</v>
      </c>
      <c r="M25" s="17"/>
      <c r="N25" s="17"/>
    </row>
    <row r="26" ht="14.25" customHeight="1">
      <c r="A26" s="19" t="s">
        <v>2233</v>
      </c>
      <c r="B26" s="21" t="s">
        <v>642</v>
      </c>
      <c r="C26" s="21" t="s">
        <v>2086</v>
      </c>
      <c r="D26" s="19" t="s">
        <v>31</v>
      </c>
      <c r="E26" s="21" t="s">
        <v>2221</v>
      </c>
      <c r="F26" s="21" t="s">
        <v>2238</v>
      </c>
      <c r="G26" s="21" t="s">
        <v>2241</v>
      </c>
      <c r="H26" s="21" t="s">
        <v>2243</v>
      </c>
      <c r="I26" s="19" t="s">
        <v>28</v>
      </c>
      <c r="J26" s="19" t="s">
        <v>75</v>
      </c>
      <c r="K26" s="19">
        <v>20.0</v>
      </c>
      <c r="L26" s="15" t="s">
        <v>47</v>
      </c>
      <c r="M26" s="17"/>
      <c r="N26" s="17"/>
    </row>
    <row r="27" ht="14.25" customHeight="1">
      <c r="A27" s="12" t="s">
        <v>2248</v>
      </c>
      <c r="B27" s="11" t="s">
        <v>642</v>
      </c>
      <c r="C27" s="11" t="s">
        <v>2086</v>
      </c>
      <c r="D27" s="12" t="s">
        <v>31</v>
      </c>
      <c r="E27" s="11" t="s">
        <v>2252</v>
      </c>
      <c r="F27" s="11" t="s">
        <v>2255</v>
      </c>
      <c r="G27" s="11" t="s">
        <v>2259</v>
      </c>
      <c r="H27" s="11" t="s">
        <v>2262</v>
      </c>
      <c r="I27" s="12" t="s">
        <v>28</v>
      </c>
      <c r="J27" s="12" t="s">
        <v>75</v>
      </c>
      <c r="K27" s="12">
        <v>18.0</v>
      </c>
      <c r="L27" s="15" t="s">
        <v>47</v>
      </c>
      <c r="M27" s="17"/>
      <c r="N27" s="17"/>
    </row>
    <row r="28" ht="14.25" customHeight="1">
      <c r="A28" s="19" t="s">
        <v>2265</v>
      </c>
      <c r="B28" s="21" t="s">
        <v>642</v>
      </c>
      <c r="C28" s="21" t="s">
        <v>2086</v>
      </c>
      <c r="D28" s="19" t="s">
        <v>31</v>
      </c>
      <c r="E28" s="21" t="s">
        <v>2101</v>
      </c>
      <c r="F28" s="21" t="s">
        <v>2268</v>
      </c>
      <c r="G28" s="21" t="s">
        <v>2271</v>
      </c>
      <c r="H28" s="21" t="s">
        <v>2273</v>
      </c>
      <c r="I28" s="19" t="s">
        <v>29</v>
      </c>
      <c r="J28" s="19" t="s">
        <v>75</v>
      </c>
      <c r="K28" s="19">
        <v>12.0</v>
      </c>
      <c r="L28" s="15" t="s">
        <v>47</v>
      </c>
      <c r="M28" s="17"/>
      <c r="N28" s="17"/>
    </row>
    <row r="29" ht="14.25" customHeight="1">
      <c r="A29" s="12" t="s">
        <v>2276</v>
      </c>
      <c r="B29" s="11" t="s">
        <v>642</v>
      </c>
      <c r="C29" s="11" t="s">
        <v>2280</v>
      </c>
      <c r="D29" s="12" t="s">
        <v>31</v>
      </c>
      <c r="E29" s="11" t="s">
        <v>2283</v>
      </c>
      <c r="F29" s="11" t="s">
        <v>2285</v>
      </c>
      <c r="G29" s="11" t="s">
        <v>2287</v>
      </c>
      <c r="H29" s="11" t="s">
        <v>2289</v>
      </c>
      <c r="I29" s="12" t="s">
        <v>28</v>
      </c>
      <c r="J29" s="12" t="s">
        <v>75</v>
      </c>
      <c r="K29" s="12">
        <v>25.0</v>
      </c>
      <c r="L29" s="15" t="s">
        <v>47</v>
      </c>
      <c r="M29" s="17"/>
      <c r="N29" s="17"/>
    </row>
    <row r="30" ht="14.25" customHeight="1">
      <c r="A30" s="19" t="s">
        <v>2292</v>
      </c>
      <c r="B30" s="21" t="s">
        <v>642</v>
      </c>
      <c r="C30" s="21" t="s">
        <v>2280</v>
      </c>
      <c r="D30" s="19" t="s">
        <v>31</v>
      </c>
      <c r="E30" s="21" t="s">
        <v>2296</v>
      </c>
      <c r="F30" s="21" t="s">
        <v>2297</v>
      </c>
      <c r="G30" s="21" t="s">
        <v>2299</v>
      </c>
      <c r="H30" s="21" t="s">
        <v>2300</v>
      </c>
      <c r="I30" s="19" t="s">
        <v>28</v>
      </c>
      <c r="J30" s="19" t="s">
        <v>103</v>
      </c>
      <c r="K30" s="19">
        <v>30.0</v>
      </c>
      <c r="L30" s="15" t="s">
        <v>47</v>
      </c>
      <c r="M30" s="17"/>
      <c r="N30" s="17"/>
    </row>
    <row r="31" ht="14.25" customHeight="1">
      <c r="A31" s="12" t="s">
        <v>2302</v>
      </c>
      <c r="B31" s="11" t="s">
        <v>642</v>
      </c>
      <c r="C31" s="11" t="s">
        <v>2303</v>
      </c>
      <c r="D31" s="12" t="s">
        <v>31</v>
      </c>
      <c r="E31" s="11" t="s">
        <v>2304</v>
      </c>
      <c r="F31" s="11" t="s">
        <v>2305</v>
      </c>
      <c r="G31" s="11" t="s">
        <v>1231</v>
      </c>
      <c r="H31" s="11" t="s">
        <v>2306</v>
      </c>
      <c r="I31" s="12" t="s">
        <v>29</v>
      </c>
      <c r="J31" s="12" t="s">
        <v>197</v>
      </c>
      <c r="K31" s="12">
        <v>10.0</v>
      </c>
      <c r="L31" s="15" t="s">
        <v>47</v>
      </c>
      <c r="M31" s="17"/>
      <c r="N31" s="17"/>
    </row>
    <row r="32" ht="14.25" customHeight="1">
      <c r="A32" s="19" t="s">
        <v>2309</v>
      </c>
      <c r="B32" s="21" t="s">
        <v>642</v>
      </c>
      <c r="C32" s="21" t="s">
        <v>2303</v>
      </c>
      <c r="D32" s="19" t="s">
        <v>31</v>
      </c>
      <c r="E32" s="21" t="s">
        <v>2304</v>
      </c>
      <c r="F32" s="21" t="s">
        <v>2311</v>
      </c>
      <c r="G32" s="21" t="s">
        <v>2312</v>
      </c>
      <c r="H32" s="21" t="s">
        <v>2313</v>
      </c>
      <c r="I32" s="19" t="s">
        <v>29</v>
      </c>
      <c r="J32" s="19" t="s">
        <v>75</v>
      </c>
      <c r="K32" s="19">
        <v>20.0</v>
      </c>
      <c r="L32" s="15" t="s">
        <v>47</v>
      </c>
      <c r="M32" s="17"/>
      <c r="N32" s="17"/>
    </row>
    <row r="33" ht="14.25" customHeight="1">
      <c r="A33" s="12" t="s">
        <v>2317</v>
      </c>
      <c r="B33" s="11" t="s">
        <v>642</v>
      </c>
      <c r="C33" s="11" t="s">
        <v>2303</v>
      </c>
      <c r="D33" s="12" t="s">
        <v>31</v>
      </c>
      <c r="E33" s="11" t="s">
        <v>2304</v>
      </c>
      <c r="F33" s="11" t="s">
        <v>2318</v>
      </c>
      <c r="G33" s="11" t="s">
        <v>2320</v>
      </c>
      <c r="H33" s="11" t="s">
        <v>2322</v>
      </c>
      <c r="I33" s="12" t="s">
        <v>29</v>
      </c>
      <c r="J33" s="12" t="s">
        <v>75</v>
      </c>
      <c r="K33" s="12">
        <v>12.0</v>
      </c>
      <c r="L33" s="15" t="s">
        <v>47</v>
      </c>
      <c r="M33" s="17"/>
      <c r="N33" s="17"/>
    </row>
    <row r="34" ht="14.25" customHeight="1">
      <c r="A34" s="19" t="s">
        <v>2328</v>
      </c>
      <c r="B34" s="21" t="s">
        <v>642</v>
      </c>
      <c r="C34" s="21" t="s">
        <v>2303</v>
      </c>
      <c r="D34" s="19" t="s">
        <v>31</v>
      </c>
      <c r="E34" s="21" t="s">
        <v>2332</v>
      </c>
      <c r="F34" s="21" t="s">
        <v>2333</v>
      </c>
      <c r="G34" s="21" t="s">
        <v>2335</v>
      </c>
      <c r="H34" s="21" t="s">
        <v>2336</v>
      </c>
      <c r="I34" s="19" t="s">
        <v>29</v>
      </c>
      <c r="J34" s="19" t="s">
        <v>75</v>
      </c>
      <c r="K34" s="19">
        <v>20.0</v>
      </c>
      <c r="L34" s="15" t="s">
        <v>47</v>
      </c>
      <c r="M34" s="17"/>
      <c r="N34" s="17"/>
    </row>
    <row r="35" ht="14.25" customHeight="1">
      <c r="A35" s="12" t="s">
        <v>2342</v>
      </c>
      <c r="B35" s="11" t="s">
        <v>642</v>
      </c>
      <c r="C35" s="11" t="s">
        <v>2343</v>
      </c>
      <c r="D35" s="12" t="s">
        <v>31</v>
      </c>
      <c r="E35" s="11" t="s">
        <v>2304</v>
      </c>
      <c r="F35" s="11" t="s">
        <v>2347</v>
      </c>
      <c r="G35" s="11" t="s">
        <v>2350</v>
      </c>
      <c r="H35" s="11" t="s">
        <v>2352</v>
      </c>
      <c r="I35" s="12" t="s">
        <v>29</v>
      </c>
      <c r="J35" s="12" t="s">
        <v>75</v>
      </c>
      <c r="K35" s="12">
        <v>12.0</v>
      </c>
      <c r="L35" s="15" t="s">
        <v>47</v>
      </c>
      <c r="M35" s="17"/>
      <c r="N35" s="17"/>
    </row>
    <row r="36" ht="14.25" customHeight="1">
      <c r="A36" s="19" t="s">
        <v>2355</v>
      </c>
      <c r="B36" s="21" t="s">
        <v>642</v>
      </c>
      <c r="C36" s="21" t="s">
        <v>2343</v>
      </c>
      <c r="D36" s="19" t="s">
        <v>31</v>
      </c>
      <c r="E36" s="21" t="s">
        <v>2359</v>
      </c>
      <c r="F36" s="21" t="s">
        <v>2361</v>
      </c>
      <c r="G36" s="21" t="s">
        <v>2363</v>
      </c>
      <c r="H36" s="21" t="s">
        <v>2366</v>
      </c>
      <c r="I36" s="19" t="s">
        <v>28</v>
      </c>
      <c r="J36" s="19" t="s">
        <v>103</v>
      </c>
      <c r="K36" s="19">
        <v>15.0</v>
      </c>
      <c r="L36" s="15" t="s">
        <v>47</v>
      </c>
      <c r="M36" s="17"/>
      <c r="N36" s="17"/>
    </row>
    <row r="37" ht="14.25" customHeight="1">
      <c r="A37" s="12" t="s">
        <v>2371</v>
      </c>
      <c r="B37" s="11" t="s">
        <v>642</v>
      </c>
      <c r="C37" s="11" t="s">
        <v>2343</v>
      </c>
      <c r="D37" s="12" t="s">
        <v>31</v>
      </c>
      <c r="E37" s="11" t="s">
        <v>2359</v>
      </c>
      <c r="F37" s="11" t="s">
        <v>2376</v>
      </c>
      <c r="G37" s="11" t="s">
        <v>2377</v>
      </c>
      <c r="H37" s="11" t="s">
        <v>2378</v>
      </c>
      <c r="I37" s="12" t="s">
        <v>28</v>
      </c>
      <c r="J37" s="12" t="s">
        <v>102</v>
      </c>
      <c r="K37" s="12">
        <v>18.0</v>
      </c>
      <c r="L37" s="15" t="s">
        <v>47</v>
      </c>
      <c r="M37" s="17"/>
      <c r="N37" s="17"/>
    </row>
    <row r="38" ht="14.25" customHeight="1">
      <c r="A38" s="19" t="s">
        <v>2387</v>
      </c>
      <c r="B38" s="21" t="s">
        <v>642</v>
      </c>
      <c r="C38" s="21" t="s">
        <v>2343</v>
      </c>
      <c r="D38" s="19" t="s">
        <v>31</v>
      </c>
      <c r="E38" s="21" t="s">
        <v>2359</v>
      </c>
      <c r="F38" s="21" t="s">
        <v>2390</v>
      </c>
      <c r="G38" s="21" t="s">
        <v>2391</v>
      </c>
      <c r="H38" s="21" t="s">
        <v>2393</v>
      </c>
      <c r="I38" s="19" t="s">
        <v>30</v>
      </c>
      <c r="J38" s="19" t="s">
        <v>75</v>
      </c>
      <c r="K38" s="19">
        <v>12.0</v>
      </c>
      <c r="L38" s="15" t="s">
        <v>47</v>
      </c>
      <c r="M38" s="17"/>
      <c r="N38" s="17"/>
    </row>
    <row r="39" ht="14.25" customHeight="1">
      <c r="A39" s="12" t="s">
        <v>2397</v>
      </c>
      <c r="B39" s="11" t="s">
        <v>642</v>
      </c>
      <c r="C39" s="11" t="s">
        <v>2343</v>
      </c>
      <c r="D39" s="12" t="s">
        <v>31</v>
      </c>
      <c r="E39" s="11" t="s">
        <v>2400</v>
      </c>
      <c r="F39" s="11" t="s">
        <v>2401</v>
      </c>
      <c r="G39" s="11" t="s">
        <v>2403</v>
      </c>
      <c r="H39" s="11" t="s">
        <v>2406</v>
      </c>
      <c r="I39" s="12" t="s">
        <v>28</v>
      </c>
      <c r="J39" s="12" t="s">
        <v>75</v>
      </c>
      <c r="K39" s="12">
        <v>25.0</v>
      </c>
      <c r="L39" s="15" t="s">
        <v>47</v>
      </c>
      <c r="M39" s="17"/>
      <c r="N39" s="17"/>
    </row>
    <row r="40" ht="14.25" customHeight="1">
      <c r="A40" s="19" t="s">
        <v>2411</v>
      </c>
      <c r="B40" s="21" t="s">
        <v>642</v>
      </c>
      <c r="C40" s="21" t="s">
        <v>2343</v>
      </c>
      <c r="D40" s="19" t="s">
        <v>31</v>
      </c>
      <c r="E40" s="21" t="s">
        <v>2400</v>
      </c>
      <c r="F40" s="21" t="s">
        <v>2412</v>
      </c>
      <c r="G40" s="21" t="s">
        <v>2414</v>
      </c>
      <c r="H40" s="21" t="s">
        <v>2415</v>
      </c>
      <c r="I40" s="19" t="s">
        <v>28</v>
      </c>
      <c r="J40" s="19" t="s">
        <v>103</v>
      </c>
      <c r="K40" s="19">
        <v>18.0</v>
      </c>
      <c r="L40" s="15" t="s">
        <v>47</v>
      </c>
      <c r="M40" s="17"/>
      <c r="N40" s="17"/>
    </row>
    <row r="41" ht="14.25" customHeight="1">
      <c r="A41" s="12" t="s">
        <v>2422</v>
      </c>
      <c r="B41" s="11" t="s">
        <v>642</v>
      </c>
      <c r="C41" s="11" t="s">
        <v>2343</v>
      </c>
      <c r="D41" s="12" t="s">
        <v>31</v>
      </c>
      <c r="E41" s="11" t="s">
        <v>2400</v>
      </c>
      <c r="F41" s="11" t="s">
        <v>2425</v>
      </c>
      <c r="G41" s="11" t="s">
        <v>2427</v>
      </c>
      <c r="H41" s="11" t="s">
        <v>2428</v>
      </c>
      <c r="I41" s="12" t="s">
        <v>29</v>
      </c>
      <c r="J41" s="12" t="s">
        <v>75</v>
      </c>
      <c r="K41" s="12">
        <v>20.0</v>
      </c>
      <c r="L41" s="15" t="s">
        <v>47</v>
      </c>
      <c r="M41" s="17"/>
      <c r="N41" s="17"/>
    </row>
    <row r="42" ht="14.25" customHeight="1">
      <c r="A42" s="19" t="s">
        <v>2430</v>
      </c>
      <c r="B42" s="21" t="s">
        <v>642</v>
      </c>
      <c r="C42" s="21" t="s">
        <v>2343</v>
      </c>
      <c r="D42" s="19" t="s">
        <v>31</v>
      </c>
      <c r="E42" s="21" t="s">
        <v>2435</v>
      </c>
      <c r="F42" s="21" t="s">
        <v>2436</v>
      </c>
      <c r="G42" s="21" t="s">
        <v>2438</v>
      </c>
      <c r="H42" s="21" t="s">
        <v>2440</v>
      </c>
      <c r="I42" s="19" t="s">
        <v>29</v>
      </c>
      <c r="J42" s="19" t="s">
        <v>75</v>
      </c>
      <c r="K42" s="19">
        <v>25.0</v>
      </c>
      <c r="L42" s="15" t="s">
        <v>47</v>
      </c>
      <c r="M42" s="17"/>
      <c r="N42" s="17"/>
    </row>
    <row r="43" ht="14.25" customHeight="1">
      <c r="A43" s="12" t="s">
        <v>2443</v>
      </c>
      <c r="B43" s="11" t="s">
        <v>642</v>
      </c>
      <c r="C43" s="11" t="s">
        <v>2343</v>
      </c>
      <c r="D43" s="12" t="s">
        <v>31</v>
      </c>
      <c r="E43" s="11" t="s">
        <v>2435</v>
      </c>
      <c r="F43" s="11" t="s">
        <v>2444</v>
      </c>
      <c r="G43" s="11" t="s">
        <v>2445</v>
      </c>
      <c r="H43" s="11" t="s">
        <v>2446</v>
      </c>
      <c r="I43" s="12" t="s">
        <v>29</v>
      </c>
      <c r="J43" s="12" t="s">
        <v>75</v>
      </c>
      <c r="K43" s="12">
        <v>15.0</v>
      </c>
      <c r="L43" s="15" t="s">
        <v>47</v>
      </c>
      <c r="M43" s="17"/>
      <c r="N43" s="17"/>
    </row>
    <row r="44" ht="14.25" customHeight="1">
      <c r="A44" s="19" t="s">
        <v>2449</v>
      </c>
      <c r="B44" s="21" t="s">
        <v>642</v>
      </c>
      <c r="C44" s="21" t="s">
        <v>2343</v>
      </c>
      <c r="D44" s="19" t="s">
        <v>31</v>
      </c>
      <c r="E44" s="21" t="s">
        <v>2453</v>
      </c>
      <c r="F44" s="21" t="s">
        <v>2454</v>
      </c>
      <c r="G44" s="21" t="s">
        <v>2455</v>
      </c>
      <c r="H44" s="21" t="s">
        <v>2456</v>
      </c>
      <c r="I44" s="19" t="s">
        <v>29</v>
      </c>
      <c r="J44" s="19" t="s">
        <v>75</v>
      </c>
      <c r="K44" s="19">
        <v>25.0</v>
      </c>
      <c r="L44" s="15" t="s">
        <v>47</v>
      </c>
      <c r="M44" s="17"/>
      <c r="N44" s="17"/>
    </row>
    <row r="45" ht="14.25" customHeight="1">
      <c r="A45" s="12" t="s">
        <v>2458</v>
      </c>
      <c r="B45" s="11" t="s">
        <v>642</v>
      </c>
      <c r="C45" s="11" t="s">
        <v>2343</v>
      </c>
      <c r="D45" s="12" t="s">
        <v>31</v>
      </c>
      <c r="E45" s="11" t="s">
        <v>2453</v>
      </c>
      <c r="F45" s="11" t="s">
        <v>2461</v>
      </c>
      <c r="G45" s="11" t="s">
        <v>2463</v>
      </c>
      <c r="H45" s="11" t="s">
        <v>2464</v>
      </c>
      <c r="I45" s="12" t="s">
        <v>29</v>
      </c>
      <c r="J45" s="12" t="s">
        <v>103</v>
      </c>
      <c r="K45" s="12">
        <v>25.0</v>
      </c>
      <c r="L45" s="15" t="s">
        <v>47</v>
      </c>
      <c r="M45" s="17"/>
      <c r="N45" s="17"/>
    </row>
    <row r="46" ht="14.25" customHeight="1">
      <c r="A46" s="19" t="s">
        <v>2465</v>
      </c>
      <c r="B46" s="21" t="s">
        <v>642</v>
      </c>
      <c r="C46" s="21" t="s">
        <v>2343</v>
      </c>
      <c r="D46" s="19" t="s">
        <v>31</v>
      </c>
      <c r="E46" s="21" t="s">
        <v>2467</v>
      </c>
      <c r="F46" s="21" t="s">
        <v>2468</v>
      </c>
      <c r="G46" s="21" t="s">
        <v>2469</v>
      </c>
      <c r="H46" s="21" t="s">
        <v>2471</v>
      </c>
      <c r="I46" s="19" t="s">
        <v>28</v>
      </c>
      <c r="J46" s="19" t="s">
        <v>75</v>
      </c>
      <c r="K46" s="19">
        <v>20.0</v>
      </c>
      <c r="L46" s="15" t="s">
        <v>47</v>
      </c>
      <c r="M46" s="17"/>
      <c r="N46" s="17"/>
    </row>
    <row r="47" ht="14.25" customHeight="1">
      <c r="A47" s="12" t="s">
        <v>2475</v>
      </c>
      <c r="B47" s="11" t="s">
        <v>642</v>
      </c>
      <c r="C47" s="11" t="s">
        <v>2476</v>
      </c>
      <c r="D47" s="12" t="s">
        <v>31</v>
      </c>
      <c r="E47" s="11" t="s">
        <v>2477</v>
      </c>
      <c r="F47" s="11" t="s">
        <v>2479</v>
      </c>
      <c r="G47" s="11" t="s">
        <v>2480</v>
      </c>
      <c r="H47" s="11" t="s">
        <v>2481</v>
      </c>
      <c r="I47" s="12" t="s">
        <v>28</v>
      </c>
      <c r="J47" s="12" t="s">
        <v>352</v>
      </c>
      <c r="K47" s="12">
        <v>30.0</v>
      </c>
      <c r="L47" s="15" t="s">
        <v>47</v>
      </c>
      <c r="M47" s="17"/>
      <c r="N47" s="17"/>
    </row>
    <row r="48" ht="14.25" customHeight="1">
      <c r="A48" s="19" t="s">
        <v>2485</v>
      </c>
      <c r="B48" s="21" t="s">
        <v>642</v>
      </c>
      <c r="C48" s="21" t="s">
        <v>2476</v>
      </c>
      <c r="D48" s="19" t="s">
        <v>31</v>
      </c>
      <c r="E48" s="21" t="s">
        <v>2487</v>
      </c>
      <c r="F48" s="21" t="s">
        <v>2488</v>
      </c>
      <c r="G48" s="21" t="s">
        <v>2489</v>
      </c>
      <c r="H48" s="21" t="s">
        <v>2490</v>
      </c>
      <c r="I48" s="19" t="s">
        <v>29</v>
      </c>
      <c r="J48" s="19" t="s">
        <v>102</v>
      </c>
      <c r="K48" s="19">
        <v>25.0</v>
      </c>
      <c r="L48" s="15" t="s">
        <v>47</v>
      </c>
      <c r="M48" s="17"/>
      <c r="N48" s="17"/>
    </row>
    <row r="49" ht="14.25" customHeight="1">
      <c r="A49" s="12" t="s">
        <v>2495</v>
      </c>
      <c r="B49" s="11" t="s">
        <v>642</v>
      </c>
      <c r="C49" s="11" t="s">
        <v>2496</v>
      </c>
      <c r="D49" s="12" t="s">
        <v>31</v>
      </c>
      <c r="E49" s="11" t="s">
        <v>2497</v>
      </c>
      <c r="F49" s="11" t="s">
        <v>2498</v>
      </c>
      <c r="G49" s="11" t="s">
        <v>2499</v>
      </c>
      <c r="H49" s="11" t="s">
        <v>2500</v>
      </c>
      <c r="I49" s="12" t="s">
        <v>28</v>
      </c>
      <c r="J49" s="12" t="s">
        <v>1465</v>
      </c>
      <c r="K49" s="12">
        <v>30.0</v>
      </c>
      <c r="L49" s="15" t="s">
        <v>47</v>
      </c>
      <c r="M49" s="17"/>
      <c r="N49" s="17"/>
    </row>
    <row r="50" ht="14.25" customHeight="1">
      <c r="A50" s="19" t="s">
        <v>2502</v>
      </c>
      <c r="B50" s="21" t="s">
        <v>642</v>
      </c>
      <c r="C50" s="21" t="s">
        <v>2503</v>
      </c>
      <c r="D50" s="19" t="s">
        <v>31</v>
      </c>
      <c r="E50" s="21" t="s">
        <v>2477</v>
      </c>
      <c r="F50" s="21" t="s">
        <v>2505</v>
      </c>
      <c r="G50" s="21" t="s">
        <v>2506</v>
      </c>
      <c r="H50" s="21" t="s">
        <v>2508</v>
      </c>
      <c r="I50" s="19" t="s">
        <v>29</v>
      </c>
      <c r="J50" s="19" t="s">
        <v>75</v>
      </c>
      <c r="K50" s="19">
        <v>20.0</v>
      </c>
      <c r="L50" s="15" t="s">
        <v>47</v>
      </c>
      <c r="M50" s="17"/>
      <c r="N50" s="17"/>
    </row>
    <row r="51" ht="14.25" customHeight="1">
      <c r="A51" s="12" t="s">
        <v>2511</v>
      </c>
      <c r="B51" s="11" t="s">
        <v>642</v>
      </c>
      <c r="C51" s="11" t="s">
        <v>2513</v>
      </c>
      <c r="D51" s="12" t="s">
        <v>31</v>
      </c>
      <c r="E51" s="11" t="s">
        <v>2514</v>
      </c>
      <c r="F51" s="11" t="s">
        <v>2515</v>
      </c>
      <c r="G51" s="11" t="s">
        <v>2516</v>
      </c>
      <c r="H51" s="11" t="s">
        <v>2518</v>
      </c>
      <c r="I51" s="12" t="s">
        <v>28</v>
      </c>
      <c r="J51" s="12" t="s">
        <v>75</v>
      </c>
      <c r="K51" s="12">
        <v>12.0</v>
      </c>
      <c r="L51" s="15" t="s">
        <v>47</v>
      </c>
      <c r="M51" s="17"/>
      <c r="N51" s="17"/>
    </row>
    <row r="52" ht="14.25" customHeight="1">
      <c r="A52" s="19" t="s">
        <v>2521</v>
      </c>
      <c r="B52" s="21" t="s">
        <v>642</v>
      </c>
      <c r="C52" s="21" t="s">
        <v>2513</v>
      </c>
      <c r="D52" s="19" t="s">
        <v>31</v>
      </c>
      <c r="E52" s="21" t="s">
        <v>2528</v>
      </c>
      <c r="F52" s="21" t="s">
        <v>2529</v>
      </c>
      <c r="G52" s="21" t="s">
        <v>2530</v>
      </c>
      <c r="H52" s="21" t="s">
        <v>2531</v>
      </c>
      <c r="I52" s="19" t="s">
        <v>29</v>
      </c>
      <c r="J52" s="19" t="s">
        <v>75</v>
      </c>
      <c r="K52" s="19">
        <v>12.0</v>
      </c>
      <c r="L52" s="15" t="s">
        <v>47</v>
      </c>
      <c r="M52" s="17"/>
      <c r="N52" s="17"/>
    </row>
    <row r="53" ht="14.25" customHeight="1">
      <c r="A53" s="12" t="s">
        <v>2534</v>
      </c>
      <c r="B53" s="11" t="s">
        <v>642</v>
      </c>
      <c r="C53" s="11" t="s">
        <v>2513</v>
      </c>
      <c r="D53" s="12" t="s">
        <v>31</v>
      </c>
      <c r="E53" s="11" t="s">
        <v>2528</v>
      </c>
      <c r="F53" s="11" t="s">
        <v>2539</v>
      </c>
      <c r="G53" s="11" t="s">
        <v>2540</v>
      </c>
      <c r="H53" s="11" t="s">
        <v>2541</v>
      </c>
      <c r="I53" s="12" t="s">
        <v>29</v>
      </c>
      <c r="J53" s="12" t="s">
        <v>75</v>
      </c>
      <c r="K53" s="12">
        <v>15.0</v>
      </c>
      <c r="L53" s="15" t="s">
        <v>47</v>
      </c>
      <c r="M53" s="17"/>
      <c r="N53" s="17"/>
    </row>
    <row r="54" ht="14.25" customHeight="1">
      <c r="A54" s="19" t="s">
        <v>2544</v>
      </c>
      <c r="B54" s="21" t="s">
        <v>642</v>
      </c>
      <c r="C54" s="21" t="s">
        <v>2513</v>
      </c>
      <c r="D54" s="19" t="s">
        <v>31</v>
      </c>
      <c r="E54" s="21" t="s">
        <v>2528</v>
      </c>
      <c r="F54" s="21" t="s">
        <v>2548</v>
      </c>
      <c r="G54" s="21" t="s">
        <v>2550</v>
      </c>
      <c r="H54" s="21" t="s">
        <v>2551</v>
      </c>
      <c r="I54" s="19" t="s">
        <v>28</v>
      </c>
      <c r="J54" s="19" t="s">
        <v>75</v>
      </c>
      <c r="K54" s="19">
        <v>25.0</v>
      </c>
      <c r="L54" s="15" t="s">
        <v>47</v>
      </c>
      <c r="M54" s="17"/>
      <c r="N54" s="17"/>
    </row>
    <row r="55" ht="14.25" customHeight="1">
      <c r="A55" s="12" t="s">
        <v>2553</v>
      </c>
      <c r="B55" s="11" t="s">
        <v>642</v>
      </c>
      <c r="C55" s="11" t="s">
        <v>2554</v>
      </c>
      <c r="D55" s="12" t="s">
        <v>31</v>
      </c>
      <c r="E55" s="11" t="s">
        <v>2528</v>
      </c>
      <c r="F55" s="11" t="s">
        <v>2558</v>
      </c>
      <c r="G55" s="11" t="s">
        <v>2037</v>
      </c>
      <c r="H55" s="11" t="s">
        <v>2561</v>
      </c>
      <c r="I55" s="12" t="s">
        <v>28</v>
      </c>
      <c r="J55" s="12" t="s">
        <v>75</v>
      </c>
      <c r="K55" s="12">
        <v>12.0</v>
      </c>
      <c r="L55" s="15" t="s">
        <v>47</v>
      </c>
      <c r="M55" s="17"/>
      <c r="N55" s="17"/>
    </row>
    <row r="56" ht="14.25" customHeight="1">
      <c r="A56" s="19" t="s">
        <v>2564</v>
      </c>
      <c r="B56" s="21" t="s">
        <v>642</v>
      </c>
      <c r="C56" s="21" t="s">
        <v>2554</v>
      </c>
      <c r="D56" s="19" t="s">
        <v>31</v>
      </c>
      <c r="E56" s="21" t="s">
        <v>2569</v>
      </c>
      <c r="F56" s="21" t="s">
        <v>2571</v>
      </c>
      <c r="G56" s="21" t="s">
        <v>2572</v>
      </c>
      <c r="H56" s="21" t="s">
        <v>2574</v>
      </c>
      <c r="I56" s="19" t="s">
        <v>29</v>
      </c>
      <c r="J56" s="19" t="s">
        <v>103</v>
      </c>
      <c r="K56" s="19">
        <v>10.0</v>
      </c>
      <c r="L56" s="15" t="s">
        <v>47</v>
      </c>
      <c r="M56" s="17"/>
      <c r="N56" s="17"/>
    </row>
    <row r="57" ht="14.25" customHeight="1">
      <c r="A57" s="12" t="s">
        <v>2576</v>
      </c>
      <c r="B57" s="11" t="s">
        <v>642</v>
      </c>
      <c r="C57" s="11" t="s">
        <v>2554</v>
      </c>
      <c r="D57" s="12" t="s">
        <v>31</v>
      </c>
      <c r="E57" s="11" t="s">
        <v>2579</v>
      </c>
      <c r="F57" s="11" t="s">
        <v>2580</v>
      </c>
      <c r="G57" s="11" t="s">
        <v>2582</v>
      </c>
      <c r="H57" s="11" t="s">
        <v>2583</v>
      </c>
      <c r="I57" s="12" t="s">
        <v>29</v>
      </c>
      <c r="J57" s="12" t="s">
        <v>75</v>
      </c>
      <c r="K57" s="12">
        <v>15.0</v>
      </c>
      <c r="L57" s="15" t="s">
        <v>47</v>
      </c>
      <c r="M57" s="17"/>
      <c r="N57" s="17"/>
    </row>
    <row r="58" ht="14.25" customHeight="1">
      <c r="A58" s="19" t="s">
        <v>2590</v>
      </c>
      <c r="B58" s="21" t="s">
        <v>642</v>
      </c>
      <c r="C58" s="21" t="s">
        <v>2554</v>
      </c>
      <c r="D58" s="19" t="s">
        <v>31</v>
      </c>
      <c r="E58" s="21" t="s">
        <v>2592</v>
      </c>
      <c r="F58" s="21" t="s">
        <v>2593</v>
      </c>
      <c r="G58" s="21" t="s">
        <v>2594</v>
      </c>
      <c r="H58" s="21" t="s">
        <v>2596</v>
      </c>
      <c r="I58" s="19" t="s">
        <v>28</v>
      </c>
      <c r="J58" s="19" t="s">
        <v>75</v>
      </c>
      <c r="K58" s="19">
        <v>25.0</v>
      </c>
      <c r="L58" s="15" t="s">
        <v>47</v>
      </c>
      <c r="M58" s="17"/>
      <c r="N58" s="17"/>
    </row>
    <row r="59" ht="14.25" customHeight="1">
      <c r="A59" s="12" t="s">
        <v>2603</v>
      </c>
      <c r="B59" s="11" t="s">
        <v>642</v>
      </c>
      <c r="C59" s="11" t="s">
        <v>2554</v>
      </c>
      <c r="D59" s="12" t="s">
        <v>31</v>
      </c>
      <c r="E59" s="11" t="s">
        <v>2607</v>
      </c>
      <c r="F59" s="11" t="s">
        <v>2609</v>
      </c>
      <c r="G59" s="11" t="s">
        <v>2610</v>
      </c>
      <c r="H59" s="11" t="s">
        <v>2611</v>
      </c>
      <c r="I59" s="12" t="s">
        <v>28</v>
      </c>
      <c r="J59" s="12" t="s">
        <v>75</v>
      </c>
      <c r="K59" s="12">
        <v>20.0</v>
      </c>
      <c r="L59" s="15" t="s">
        <v>47</v>
      </c>
      <c r="M59" s="17"/>
      <c r="N59" s="17"/>
    </row>
    <row r="60" ht="14.25" customHeight="1">
      <c r="A60" s="19" t="s">
        <v>2617</v>
      </c>
      <c r="B60" s="21" t="s">
        <v>642</v>
      </c>
      <c r="C60" s="21" t="s">
        <v>2554</v>
      </c>
      <c r="D60" s="19" t="s">
        <v>31</v>
      </c>
      <c r="E60" s="21" t="s">
        <v>2618</v>
      </c>
      <c r="F60" s="21" t="s">
        <v>2619</v>
      </c>
      <c r="G60" s="21" t="s">
        <v>2621</v>
      </c>
      <c r="H60" s="21" t="s">
        <v>2622</v>
      </c>
      <c r="I60" s="19" t="s">
        <v>28</v>
      </c>
      <c r="J60" s="19" t="s">
        <v>75</v>
      </c>
      <c r="K60" s="19">
        <v>25.0</v>
      </c>
      <c r="L60" s="15" t="s">
        <v>47</v>
      </c>
      <c r="M60" s="17"/>
      <c r="N60" s="17"/>
    </row>
    <row r="61" ht="14.25" customHeight="1">
      <c r="A61" s="12" t="s">
        <v>2626</v>
      </c>
      <c r="B61" s="11" t="s">
        <v>642</v>
      </c>
      <c r="C61" s="11" t="s">
        <v>2554</v>
      </c>
      <c r="D61" s="12" t="s">
        <v>31</v>
      </c>
      <c r="E61" s="11" t="s">
        <v>2629</v>
      </c>
      <c r="F61" s="11" t="s">
        <v>2631</v>
      </c>
      <c r="G61" s="11" t="s">
        <v>2633</v>
      </c>
      <c r="H61" s="11" t="s">
        <v>2634</v>
      </c>
      <c r="I61" s="12" t="s">
        <v>29</v>
      </c>
      <c r="J61" s="12" t="s">
        <v>75</v>
      </c>
      <c r="K61" s="12">
        <v>20.0</v>
      </c>
      <c r="L61" s="15" t="s">
        <v>47</v>
      </c>
      <c r="M61" s="17"/>
      <c r="N61" s="17"/>
    </row>
    <row r="62" ht="14.25" customHeight="1">
      <c r="A62" s="19" t="s">
        <v>2639</v>
      </c>
      <c r="B62" s="21" t="s">
        <v>642</v>
      </c>
      <c r="C62" s="21" t="s">
        <v>2554</v>
      </c>
      <c r="D62" s="19" t="s">
        <v>31</v>
      </c>
      <c r="E62" s="21" t="s">
        <v>2644</v>
      </c>
      <c r="F62" s="21" t="s">
        <v>2645</v>
      </c>
      <c r="G62" s="21" t="s">
        <v>2646</v>
      </c>
      <c r="H62" s="21" t="s">
        <v>2647</v>
      </c>
      <c r="I62" s="19" t="s">
        <v>28</v>
      </c>
      <c r="J62" s="19" t="s">
        <v>352</v>
      </c>
      <c r="K62" s="19">
        <v>30.0</v>
      </c>
      <c r="L62" s="15" t="s">
        <v>47</v>
      </c>
      <c r="M62" s="17"/>
      <c r="N62" s="17"/>
    </row>
    <row r="63" ht="14.25" customHeight="1">
      <c r="A63" s="12" t="s">
        <v>2653</v>
      </c>
      <c r="B63" s="11" t="s">
        <v>642</v>
      </c>
      <c r="C63" s="11" t="s">
        <v>2554</v>
      </c>
      <c r="D63" s="12" t="s">
        <v>31</v>
      </c>
      <c r="E63" s="11" t="s">
        <v>2654</v>
      </c>
      <c r="F63" s="11" t="s">
        <v>2656</v>
      </c>
      <c r="G63" s="11" t="s">
        <v>2658</v>
      </c>
      <c r="H63" s="11" t="s">
        <v>2661</v>
      </c>
      <c r="I63" s="12" t="s">
        <v>28</v>
      </c>
      <c r="J63" s="12" t="s">
        <v>103</v>
      </c>
      <c r="K63" s="12">
        <v>25.0</v>
      </c>
      <c r="L63" s="15" t="s">
        <v>47</v>
      </c>
      <c r="M63" s="17"/>
      <c r="N63" s="17"/>
    </row>
    <row r="64" ht="14.25" customHeight="1">
      <c r="A64" s="19" t="s">
        <v>2667</v>
      </c>
      <c r="B64" s="21" t="s">
        <v>642</v>
      </c>
      <c r="C64" s="21" t="s">
        <v>2554</v>
      </c>
      <c r="D64" s="19" t="s">
        <v>31</v>
      </c>
      <c r="E64" s="21" t="s">
        <v>2668</v>
      </c>
      <c r="F64" s="21" t="s">
        <v>2669</v>
      </c>
      <c r="G64" s="21" t="s">
        <v>2670</v>
      </c>
      <c r="H64" s="21" t="s">
        <v>2672</v>
      </c>
      <c r="I64" s="19" t="s">
        <v>29</v>
      </c>
      <c r="J64" s="19" t="s">
        <v>352</v>
      </c>
      <c r="K64" s="19">
        <v>30.0</v>
      </c>
      <c r="L64" s="15" t="s">
        <v>47</v>
      </c>
      <c r="M64" s="17"/>
      <c r="N64" s="17"/>
    </row>
    <row r="65" ht="14.25" customHeight="1">
      <c r="A65" s="12" t="s">
        <v>2675</v>
      </c>
      <c r="B65" s="11" t="s">
        <v>642</v>
      </c>
      <c r="C65" s="11" t="s">
        <v>2554</v>
      </c>
      <c r="D65" s="12" t="s">
        <v>31</v>
      </c>
      <c r="E65" s="11" t="s">
        <v>2677</v>
      </c>
      <c r="F65" s="11" t="s">
        <v>2678</v>
      </c>
      <c r="G65" s="11" t="s">
        <v>2679</v>
      </c>
      <c r="H65" s="11" t="s">
        <v>2680</v>
      </c>
      <c r="I65" s="12" t="s">
        <v>29</v>
      </c>
      <c r="J65" s="12" t="s">
        <v>75</v>
      </c>
      <c r="K65" s="12">
        <v>20.0</v>
      </c>
      <c r="L65" s="15" t="s">
        <v>47</v>
      </c>
      <c r="M65" s="17"/>
      <c r="N65" s="17"/>
    </row>
    <row r="66" ht="14.25" customHeight="1">
      <c r="A66" s="19" t="s">
        <v>2684</v>
      </c>
      <c r="B66" s="21" t="s">
        <v>642</v>
      </c>
      <c r="C66" s="21" t="s">
        <v>2554</v>
      </c>
      <c r="D66" s="19" t="s">
        <v>31</v>
      </c>
      <c r="E66" s="21" t="s">
        <v>2687</v>
      </c>
      <c r="F66" s="21" t="s">
        <v>2689</v>
      </c>
      <c r="G66" s="21" t="s">
        <v>2692</v>
      </c>
      <c r="H66" s="21" t="s">
        <v>2694</v>
      </c>
      <c r="I66" s="19" t="s">
        <v>29</v>
      </c>
      <c r="J66" s="19" t="s">
        <v>75</v>
      </c>
      <c r="K66" s="19">
        <v>25.0</v>
      </c>
      <c r="L66" s="15" t="s">
        <v>47</v>
      </c>
      <c r="M66" s="17"/>
      <c r="N66" s="17"/>
    </row>
    <row r="67" ht="14.25" customHeight="1">
      <c r="A67" s="12" t="s">
        <v>2697</v>
      </c>
      <c r="B67" s="11" t="s">
        <v>642</v>
      </c>
      <c r="C67" s="11" t="s">
        <v>2554</v>
      </c>
      <c r="D67" s="12" t="s">
        <v>31</v>
      </c>
      <c r="E67" s="11" t="s">
        <v>2702</v>
      </c>
      <c r="F67" s="11" t="s">
        <v>2704</v>
      </c>
      <c r="G67" s="11" t="s">
        <v>2706</v>
      </c>
      <c r="H67" s="11" t="s">
        <v>2708</v>
      </c>
      <c r="I67" s="12" t="s">
        <v>29</v>
      </c>
      <c r="J67" s="12" t="s">
        <v>352</v>
      </c>
      <c r="K67" s="12">
        <v>30.0</v>
      </c>
      <c r="L67" s="15" t="s">
        <v>47</v>
      </c>
      <c r="M67" s="17"/>
      <c r="N67" s="17"/>
    </row>
    <row r="68" ht="14.25" customHeight="1">
      <c r="A68" s="19" t="s">
        <v>2711</v>
      </c>
      <c r="B68" s="21" t="s">
        <v>642</v>
      </c>
      <c r="C68" s="21" t="s">
        <v>2554</v>
      </c>
      <c r="D68" s="19" t="s">
        <v>31</v>
      </c>
      <c r="E68" s="21" t="s">
        <v>2712</v>
      </c>
      <c r="F68" s="21" t="s">
        <v>2713</v>
      </c>
      <c r="G68" s="21" t="s">
        <v>2714</v>
      </c>
      <c r="H68" s="21" t="s">
        <v>2716</v>
      </c>
      <c r="I68" s="19" t="s">
        <v>29</v>
      </c>
      <c r="J68" s="19" t="s">
        <v>103</v>
      </c>
      <c r="K68" s="19">
        <v>25.0</v>
      </c>
      <c r="L68" s="15" t="s">
        <v>47</v>
      </c>
      <c r="M68" s="17"/>
      <c r="N68" s="17"/>
    </row>
    <row r="69" ht="14.25" customHeight="1">
      <c r="A69" s="12" t="s">
        <v>2722</v>
      </c>
      <c r="B69" s="11" t="s">
        <v>642</v>
      </c>
      <c r="C69" s="11" t="s">
        <v>2554</v>
      </c>
      <c r="D69" s="12" t="s">
        <v>31</v>
      </c>
      <c r="E69" s="11" t="s">
        <v>2726</v>
      </c>
      <c r="F69" s="11" t="s">
        <v>2727</v>
      </c>
      <c r="G69" s="11" t="s">
        <v>2728</v>
      </c>
      <c r="H69" s="11" t="s">
        <v>2730</v>
      </c>
      <c r="I69" s="12" t="s">
        <v>29</v>
      </c>
      <c r="J69" s="12" t="s">
        <v>75</v>
      </c>
      <c r="K69" s="12">
        <v>15.0</v>
      </c>
      <c r="L69" s="15" t="s">
        <v>47</v>
      </c>
      <c r="M69" s="17"/>
      <c r="N69" s="17"/>
    </row>
    <row r="70" ht="14.25" customHeight="1">
      <c r="A70" s="19" t="s">
        <v>2737</v>
      </c>
      <c r="B70" s="21" t="s">
        <v>642</v>
      </c>
      <c r="C70" s="21" t="s">
        <v>2554</v>
      </c>
      <c r="D70" s="19" t="s">
        <v>31</v>
      </c>
      <c r="E70" s="21" t="s">
        <v>2742</v>
      </c>
      <c r="F70" s="21" t="s">
        <v>2743</v>
      </c>
      <c r="G70" s="21" t="s">
        <v>2744</v>
      </c>
      <c r="H70" s="21" t="s">
        <v>2745</v>
      </c>
      <c r="I70" s="19" t="s">
        <v>28</v>
      </c>
      <c r="J70" s="19" t="s">
        <v>103</v>
      </c>
      <c r="K70" s="19">
        <v>18.0</v>
      </c>
      <c r="L70" s="15" t="s">
        <v>47</v>
      </c>
      <c r="M70" s="17"/>
      <c r="N70" s="17"/>
    </row>
    <row r="71" ht="14.25" customHeight="1">
      <c r="A71" s="12" t="s">
        <v>2752</v>
      </c>
      <c r="B71" s="11" t="s">
        <v>642</v>
      </c>
      <c r="C71" s="11" t="s">
        <v>2757</v>
      </c>
      <c r="D71" s="12" t="s">
        <v>31</v>
      </c>
      <c r="E71" s="11" t="s">
        <v>2758</v>
      </c>
      <c r="F71" s="11" t="s">
        <v>2759</v>
      </c>
      <c r="G71" s="11" t="s">
        <v>2760</v>
      </c>
      <c r="H71" s="11" t="s">
        <v>2761</v>
      </c>
      <c r="I71" s="12" t="s">
        <v>28</v>
      </c>
      <c r="J71" s="12" t="s">
        <v>75</v>
      </c>
      <c r="K71" s="12">
        <v>30.0</v>
      </c>
      <c r="L71" s="15" t="s">
        <v>47</v>
      </c>
      <c r="M71" s="17"/>
      <c r="N71" s="17"/>
    </row>
    <row r="72" ht="14.25" customHeight="1">
      <c r="A72" s="19" t="s">
        <v>2766</v>
      </c>
      <c r="B72" s="21" t="s">
        <v>642</v>
      </c>
      <c r="C72" s="21" t="s">
        <v>2757</v>
      </c>
      <c r="D72" s="19" t="s">
        <v>31</v>
      </c>
      <c r="E72" s="21" t="s">
        <v>2758</v>
      </c>
      <c r="F72" s="21" t="s">
        <v>2772</v>
      </c>
      <c r="G72" s="21" t="s">
        <v>2773</v>
      </c>
      <c r="H72" s="21" t="s">
        <v>2774</v>
      </c>
      <c r="I72" s="19" t="s">
        <v>28</v>
      </c>
      <c r="J72" s="19" t="s">
        <v>75</v>
      </c>
      <c r="K72" s="19">
        <v>30.0</v>
      </c>
      <c r="L72" s="15" t="s">
        <v>47</v>
      </c>
      <c r="M72" s="17"/>
      <c r="N72" s="17"/>
    </row>
    <row r="73" ht="14.25" customHeight="1">
      <c r="A73" s="12" t="s">
        <v>2779</v>
      </c>
      <c r="B73" s="11" t="s">
        <v>642</v>
      </c>
      <c r="C73" s="11" t="s">
        <v>2757</v>
      </c>
      <c r="D73" s="12" t="s">
        <v>31</v>
      </c>
      <c r="E73" s="11" t="s">
        <v>2783</v>
      </c>
      <c r="F73" s="11" t="s">
        <v>2784</v>
      </c>
      <c r="G73" s="11" t="s">
        <v>2786</v>
      </c>
      <c r="H73" s="11" t="s">
        <v>2787</v>
      </c>
      <c r="I73" s="12" t="s">
        <v>29</v>
      </c>
      <c r="J73" s="12" t="s">
        <v>75</v>
      </c>
      <c r="K73" s="12">
        <v>20.0</v>
      </c>
      <c r="L73" s="15" t="s">
        <v>47</v>
      </c>
      <c r="M73" s="17"/>
      <c r="N73" s="17"/>
    </row>
    <row r="74" ht="14.25" customHeight="1">
      <c r="A74" s="19" t="s">
        <v>2793</v>
      </c>
      <c r="B74" s="21" t="s">
        <v>642</v>
      </c>
      <c r="C74" s="21" t="s">
        <v>2757</v>
      </c>
      <c r="D74" s="19" t="s">
        <v>183</v>
      </c>
      <c r="E74" s="21" t="s">
        <v>2797</v>
      </c>
      <c r="F74" s="21" t="s">
        <v>2799</v>
      </c>
      <c r="G74" s="21" t="s">
        <v>2801</v>
      </c>
      <c r="H74" s="21" t="s">
        <v>2802</v>
      </c>
      <c r="I74" s="19" t="s">
        <v>28</v>
      </c>
      <c r="J74" s="19" t="s">
        <v>352</v>
      </c>
      <c r="K74" s="19">
        <v>25.0</v>
      </c>
      <c r="L74" s="15" t="s">
        <v>47</v>
      </c>
      <c r="M74" s="17"/>
      <c r="N74" s="17"/>
    </row>
    <row r="75" ht="14.25" customHeight="1">
      <c r="A75" s="12" t="s">
        <v>2805</v>
      </c>
      <c r="B75" s="11" t="s">
        <v>642</v>
      </c>
      <c r="C75" s="11" t="s">
        <v>2757</v>
      </c>
      <c r="D75" s="12" t="s">
        <v>31</v>
      </c>
      <c r="E75" s="11" t="s">
        <v>2809</v>
      </c>
      <c r="F75" s="11" t="s">
        <v>2811</v>
      </c>
      <c r="G75" s="11" t="s">
        <v>2813</v>
      </c>
      <c r="H75" s="11" t="s">
        <v>2814</v>
      </c>
      <c r="I75" s="12" t="s">
        <v>28</v>
      </c>
      <c r="J75" s="12" t="s">
        <v>75</v>
      </c>
      <c r="K75" s="12">
        <v>30.0</v>
      </c>
      <c r="L75" s="15" t="s">
        <v>47</v>
      </c>
      <c r="M75" s="17"/>
      <c r="N75" s="17"/>
    </row>
    <row r="76" ht="14.25" customHeight="1">
      <c r="A76" s="19" t="s">
        <v>2819</v>
      </c>
      <c r="B76" s="21" t="s">
        <v>642</v>
      </c>
      <c r="C76" s="21" t="s">
        <v>2757</v>
      </c>
      <c r="D76" s="19" t="s">
        <v>31</v>
      </c>
      <c r="E76" s="21" t="s">
        <v>2820</v>
      </c>
      <c r="F76" s="21" t="s">
        <v>2822</v>
      </c>
      <c r="G76" s="21" t="s">
        <v>2823</v>
      </c>
      <c r="H76" s="21" t="s">
        <v>2825</v>
      </c>
      <c r="I76" s="19" t="s">
        <v>29</v>
      </c>
      <c r="J76" s="19" t="s">
        <v>75</v>
      </c>
      <c r="K76" s="19">
        <v>25.0</v>
      </c>
      <c r="L76" s="15" t="s">
        <v>47</v>
      </c>
      <c r="M76" s="17"/>
      <c r="N76" s="17"/>
    </row>
    <row r="77" ht="14.25" customHeight="1">
      <c r="A77" s="12" t="s">
        <v>2830</v>
      </c>
      <c r="B77" s="11" t="s">
        <v>642</v>
      </c>
      <c r="C77" s="11" t="s">
        <v>2832</v>
      </c>
      <c r="D77" s="12" t="s">
        <v>183</v>
      </c>
      <c r="E77" s="11" t="s">
        <v>2836</v>
      </c>
      <c r="F77" s="11" t="s">
        <v>2837</v>
      </c>
      <c r="G77" s="11" t="s">
        <v>2839</v>
      </c>
      <c r="H77" s="11" t="s">
        <v>2841</v>
      </c>
      <c r="I77" s="12" t="s">
        <v>28</v>
      </c>
      <c r="J77" s="12" t="s">
        <v>352</v>
      </c>
      <c r="K77" s="12">
        <v>30.0</v>
      </c>
      <c r="L77" s="15" t="s">
        <v>47</v>
      </c>
      <c r="M77" s="17"/>
      <c r="N77" s="17"/>
    </row>
    <row r="78" ht="14.25" customHeight="1"/>
    <row r="79" ht="14.25" customHeight="1">
      <c r="J79" s="3" t="s">
        <v>789</v>
      </c>
      <c r="K79" s="27">
        <f>SUM(K3:K77)</f>
        <v>1495</v>
      </c>
    </row>
    <row r="80" ht="14.25" customHeight="1">
      <c r="J80" s="3" t="s">
        <v>808</v>
      </c>
      <c r="K80" s="28">
        <f>K79/60</f>
        <v>24.91666667</v>
      </c>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77"/>
  <mergeCells count="1">
    <mergeCell ref="A1:N1"/>
  </mergeCells>
  <conditionalFormatting sqref="L3:L77">
    <cfRule type="cellIs" dxfId="0" priority="1" operator="equal">
      <formula>"Pass"</formula>
    </cfRule>
  </conditionalFormatting>
  <conditionalFormatting sqref="L3:L77">
    <cfRule type="cellIs" dxfId="1" priority="2" operator="equal">
      <formula>"Fail"</formula>
    </cfRule>
  </conditionalFormatting>
  <conditionalFormatting sqref="L3:L77">
    <cfRule type="cellIs" dxfId="2" priority="3" operator="equal">
      <formula>"Blocked"</formula>
    </cfRule>
  </conditionalFormatting>
  <dataValidations>
    <dataValidation type="list" allowBlank="1" sqref="L3:L77">
      <formula1>"Not Run,Pass,Fail,Blocked,N-A"</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2051</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2089</v>
      </c>
      <c r="B3" s="11" t="s">
        <v>713</v>
      </c>
      <c r="C3" s="11" t="s">
        <v>385</v>
      </c>
      <c r="D3" s="12" t="s">
        <v>31</v>
      </c>
      <c r="E3" s="11" t="s">
        <v>193</v>
      </c>
      <c r="F3" s="11" t="s">
        <v>2095</v>
      </c>
      <c r="G3" s="11" t="s">
        <v>2096</v>
      </c>
      <c r="H3" s="11" t="s">
        <v>2098</v>
      </c>
      <c r="I3" s="12" t="s">
        <v>28</v>
      </c>
      <c r="J3" s="12" t="s">
        <v>75</v>
      </c>
      <c r="K3" s="12">
        <v>12.0</v>
      </c>
      <c r="L3" s="15" t="s">
        <v>47</v>
      </c>
      <c r="M3" s="17"/>
      <c r="N3" s="17"/>
    </row>
    <row r="4" ht="14.25" customHeight="1">
      <c r="A4" s="19" t="s">
        <v>2115</v>
      </c>
      <c r="B4" s="21" t="s">
        <v>713</v>
      </c>
      <c r="C4" s="21" t="s">
        <v>385</v>
      </c>
      <c r="D4" s="19" t="s">
        <v>31</v>
      </c>
      <c r="E4" s="21" t="s">
        <v>2123</v>
      </c>
      <c r="F4" s="21" t="s">
        <v>2124</v>
      </c>
      <c r="G4" s="21" t="s">
        <v>2125</v>
      </c>
      <c r="H4" s="21" t="s">
        <v>2126</v>
      </c>
      <c r="I4" s="19" t="s">
        <v>29</v>
      </c>
      <c r="J4" s="19" t="s">
        <v>124</v>
      </c>
      <c r="K4" s="19">
        <v>20.0</v>
      </c>
      <c r="L4" s="15" t="s">
        <v>47</v>
      </c>
      <c r="M4" s="17"/>
      <c r="N4" s="17"/>
    </row>
    <row r="5" ht="14.25" customHeight="1">
      <c r="A5" s="12" t="s">
        <v>2131</v>
      </c>
      <c r="B5" s="11" t="s">
        <v>713</v>
      </c>
      <c r="C5" s="11" t="s">
        <v>2135</v>
      </c>
      <c r="D5" s="12" t="s">
        <v>31</v>
      </c>
      <c r="E5" s="11" t="s">
        <v>2137</v>
      </c>
      <c r="F5" s="11" t="s">
        <v>2138</v>
      </c>
      <c r="G5" s="11" t="s">
        <v>2139</v>
      </c>
      <c r="H5" s="11" t="s">
        <v>2141</v>
      </c>
      <c r="I5" s="12" t="s">
        <v>28</v>
      </c>
      <c r="J5" s="12" t="s">
        <v>197</v>
      </c>
      <c r="K5" s="12">
        <v>15.0</v>
      </c>
      <c r="L5" s="15" t="s">
        <v>47</v>
      </c>
      <c r="M5" s="17"/>
      <c r="N5" s="17"/>
    </row>
    <row r="6" ht="14.25" customHeight="1">
      <c r="A6" s="19" t="s">
        <v>2147</v>
      </c>
      <c r="B6" s="21" t="s">
        <v>713</v>
      </c>
      <c r="C6" s="21" t="s">
        <v>2135</v>
      </c>
      <c r="D6" s="19" t="s">
        <v>31</v>
      </c>
      <c r="E6" s="21" t="s">
        <v>2150</v>
      </c>
      <c r="F6" s="21" t="s">
        <v>2152</v>
      </c>
      <c r="G6" s="21" t="s">
        <v>2153</v>
      </c>
      <c r="H6" s="21" t="s">
        <v>2154</v>
      </c>
      <c r="I6" s="19" t="s">
        <v>29</v>
      </c>
      <c r="J6" s="19" t="s">
        <v>197</v>
      </c>
      <c r="K6" s="19">
        <v>15.0</v>
      </c>
      <c r="L6" s="15" t="s">
        <v>47</v>
      </c>
      <c r="M6" s="17"/>
      <c r="N6" s="17"/>
    </row>
    <row r="7" ht="14.25" customHeight="1">
      <c r="A7" s="12" t="s">
        <v>2162</v>
      </c>
      <c r="B7" s="11" t="s">
        <v>713</v>
      </c>
      <c r="C7" s="11" t="s">
        <v>2135</v>
      </c>
      <c r="D7" s="12" t="s">
        <v>31</v>
      </c>
      <c r="E7" s="11" t="s">
        <v>2165</v>
      </c>
      <c r="F7" s="11" t="s">
        <v>2166</v>
      </c>
      <c r="G7" s="11" t="s">
        <v>2168</v>
      </c>
      <c r="H7" s="11" t="s">
        <v>2170</v>
      </c>
      <c r="I7" s="12" t="s">
        <v>29</v>
      </c>
      <c r="J7" s="12" t="s">
        <v>75</v>
      </c>
      <c r="K7" s="12">
        <v>25.0</v>
      </c>
      <c r="L7" s="15" t="s">
        <v>47</v>
      </c>
      <c r="M7" s="17"/>
      <c r="N7" s="17"/>
    </row>
    <row r="8" ht="14.25" customHeight="1">
      <c r="A8" s="19" t="s">
        <v>2176</v>
      </c>
      <c r="B8" s="21" t="s">
        <v>713</v>
      </c>
      <c r="C8" s="21" t="s">
        <v>2135</v>
      </c>
      <c r="D8" s="19" t="s">
        <v>31</v>
      </c>
      <c r="E8" s="21" t="s">
        <v>2137</v>
      </c>
      <c r="F8" s="21" t="s">
        <v>2183</v>
      </c>
      <c r="G8" s="21" t="s">
        <v>2185</v>
      </c>
      <c r="H8" s="21" t="s">
        <v>2186</v>
      </c>
      <c r="I8" s="19" t="s">
        <v>29</v>
      </c>
      <c r="J8" s="19" t="s">
        <v>75</v>
      </c>
      <c r="K8" s="19">
        <v>15.0</v>
      </c>
      <c r="L8" s="15" t="s">
        <v>47</v>
      </c>
      <c r="M8" s="17"/>
      <c r="N8" s="17"/>
    </row>
    <row r="9" ht="14.25" customHeight="1">
      <c r="A9" s="12" t="s">
        <v>2192</v>
      </c>
      <c r="B9" s="11" t="s">
        <v>713</v>
      </c>
      <c r="C9" s="11" t="s">
        <v>2135</v>
      </c>
      <c r="D9" s="12" t="s">
        <v>31</v>
      </c>
      <c r="E9" s="11" t="s">
        <v>2197</v>
      </c>
      <c r="F9" s="11" t="s">
        <v>2198</v>
      </c>
      <c r="G9" s="11" t="s">
        <v>2199</v>
      </c>
      <c r="H9" s="11" t="s">
        <v>2200</v>
      </c>
      <c r="I9" s="12" t="s">
        <v>29</v>
      </c>
      <c r="J9" s="12" t="s">
        <v>124</v>
      </c>
      <c r="K9" s="12">
        <v>20.0</v>
      </c>
      <c r="L9" s="15" t="s">
        <v>47</v>
      </c>
      <c r="M9" s="17"/>
      <c r="N9" s="17"/>
    </row>
    <row r="10" ht="14.25" customHeight="1">
      <c r="A10" s="19" t="s">
        <v>2211</v>
      </c>
      <c r="B10" s="21" t="s">
        <v>713</v>
      </c>
      <c r="C10" s="21" t="s">
        <v>2212</v>
      </c>
      <c r="D10" s="19" t="s">
        <v>31</v>
      </c>
      <c r="E10" s="21" t="s">
        <v>2213</v>
      </c>
      <c r="F10" s="21" t="s">
        <v>2216</v>
      </c>
      <c r="G10" s="21" t="s">
        <v>2218</v>
      </c>
      <c r="H10" s="21" t="s">
        <v>2219</v>
      </c>
      <c r="I10" s="19" t="s">
        <v>28</v>
      </c>
      <c r="J10" s="19" t="s">
        <v>75</v>
      </c>
      <c r="K10" s="19">
        <v>15.0</v>
      </c>
      <c r="L10" s="15" t="s">
        <v>47</v>
      </c>
      <c r="M10" s="17"/>
      <c r="N10" s="17"/>
    </row>
    <row r="11" ht="14.25" customHeight="1">
      <c r="A11" s="12" t="s">
        <v>2229</v>
      </c>
      <c r="B11" s="11" t="s">
        <v>713</v>
      </c>
      <c r="C11" s="11" t="s">
        <v>2212</v>
      </c>
      <c r="D11" s="12" t="s">
        <v>31</v>
      </c>
      <c r="E11" s="11" t="s">
        <v>2235</v>
      </c>
      <c r="F11" s="11" t="s">
        <v>2236</v>
      </c>
      <c r="G11" s="11" t="s">
        <v>2237</v>
      </c>
      <c r="H11" s="11" t="s">
        <v>2240</v>
      </c>
      <c r="I11" s="12" t="s">
        <v>29</v>
      </c>
      <c r="J11" s="12" t="s">
        <v>124</v>
      </c>
      <c r="K11" s="12">
        <v>20.0</v>
      </c>
      <c r="L11" s="15" t="s">
        <v>47</v>
      </c>
      <c r="M11" s="17"/>
      <c r="N11" s="17"/>
    </row>
    <row r="12" ht="14.25" customHeight="1">
      <c r="A12" s="19" t="s">
        <v>2249</v>
      </c>
      <c r="B12" s="21" t="s">
        <v>713</v>
      </c>
      <c r="C12" s="21" t="s">
        <v>2212</v>
      </c>
      <c r="D12" s="19" t="s">
        <v>31</v>
      </c>
      <c r="E12" s="21" t="s">
        <v>2253</v>
      </c>
      <c r="F12" s="21" t="s">
        <v>2257</v>
      </c>
      <c r="G12" s="21" t="s">
        <v>2260</v>
      </c>
      <c r="H12" s="21" t="s">
        <v>2263</v>
      </c>
      <c r="I12" s="19" t="s">
        <v>28</v>
      </c>
      <c r="J12" s="19" t="s">
        <v>75</v>
      </c>
      <c r="K12" s="19">
        <v>15.0</v>
      </c>
      <c r="L12" s="15" t="s">
        <v>47</v>
      </c>
      <c r="M12" s="17"/>
      <c r="N12" s="17"/>
    </row>
    <row r="13" ht="14.25" customHeight="1">
      <c r="A13" s="12" t="s">
        <v>2269</v>
      </c>
      <c r="B13" s="11" t="s">
        <v>713</v>
      </c>
      <c r="C13" s="11" t="s">
        <v>2212</v>
      </c>
      <c r="D13" s="12" t="s">
        <v>31</v>
      </c>
      <c r="E13" s="11" t="s">
        <v>2274</v>
      </c>
      <c r="F13" s="11" t="s">
        <v>2275</v>
      </c>
      <c r="G13" s="11" t="s">
        <v>2277</v>
      </c>
      <c r="H13" s="11" t="s">
        <v>2279</v>
      </c>
      <c r="I13" s="12" t="s">
        <v>29</v>
      </c>
      <c r="J13" s="12" t="s">
        <v>75</v>
      </c>
      <c r="K13" s="12">
        <v>25.0</v>
      </c>
      <c r="L13" s="15" t="s">
        <v>47</v>
      </c>
      <c r="M13" s="17"/>
      <c r="N13" s="17"/>
    </row>
    <row r="14" ht="14.25" customHeight="1">
      <c r="A14" s="19" t="s">
        <v>2290</v>
      </c>
      <c r="B14" s="21" t="s">
        <v>713</v>
      </c>
      <c r="C14" s="21" t="s">
        <v>2212</v>
      </c>
      <c r="D14" s="19" t="s">
        <v>31</v>
      </c>
      <c r="E14" s="21" t="s">
        <v>2293</v>
      </c>
      <c r="F14" s="21" t="s">
        <v>2294</v>
      </c>
      <c r="G14" s="21" t="s">
        <v>2295</v>
      </c>
      <c r="H14" s="21" t="s">
        <v>2298</v>
      </c>
      <c r="I14" s="19" t="s">
        <v>28</v>
      </c>
      <c r="J14" s="19" t="s">
        <v>75</v>
      </c>
      <c r="K14" s="19">
        <v>25.0</v>
      </c>
      <c r="L14" s="15" t="s">
        <v>47</v>
      </c>
      <c r="M14" s="17"/>
      <c r="N14" s="17"/>
    </row>
    <row r="15" ht="14.25" customHeight="1">
      <c r="A15" s="12" t="s">
        <v>2301</v>
      </c>
      <c r="B15" s="11" t="s">
        <v>713</v>
      </c>
      <c r="C15" s="11" t="s">
        <v>2212</v>
      </c>
      <c r="D15" s="12" t="s">
        <v>31</v>
      </c>
      <c r="E15" s="11" t="s">
        <v>2293</v>
      </c>
      <c r="F15" s="11" t="s">
        <v>2307</v>
      </c>
      <c r="G15" s="11" t="s">
        <v>2308</v>
      </c>
      <c r="H15" s="11" t="s">
        <v>2310</v>
      </c>
      <c r="I15" s="12" t="s">
        <v>29</v>
      </c>
      <c r="J15" s="12" t="s">
        <v>75</v>
      </c>
      <c r="K15" s="12">
        <v>20.0</v>
      </c>
      <c r="L15" s="15" t="s">
        <v>47</v>
      </c>
      <c r="M15" s="17"/>
      <c r="N15" s="17"/>
    </row>
    <row r="16" ht="14.25" customHeight="1">
      <c r="A16" s="19" t="s">
        <v>2319</v>
      </c>
      <c r="B16" s="21" t="s">
        <v>713</v>
      </c>
      <c r="C16" s="21" t="s">
        <v>2212</v>
      </c>
      <c r="D16" s="19" t="s">
        <v>31</v>
      </c>
      <c r="E16" s="21" t="s">
        <v>2324</v>
      </c>
      <c r="F16" s="21" t="s">
        <v>2326</v>
      </c>
      <c r="G16" s="21" t="s">
        <v>2330</v>
      </c>
      <c r="H16" s="21" t="s">
        <v>2331</v>
      </c>
      <c r="I16" s="19" t="s">
        <v>29</v>
      </c>
      <c r="J16" s="19" t="s">
        <v>75</v>
      </c>
      <c r="K16" s="19">
        <v>20.0</v>
      </c>
      <c r="L16" s="15" t="s">
        <v>47</v>
      </c>
      <c r="M16" s="17"/>
      <c r="N16" s="17"/>
    </row>
    <row r="17" ht="14.25" customHeight="1">
      <c r="A17" s="12" t="s">
        <v>2339</v>
      </c>
      <c r="B17" s="11" t="s">
        <v>713</v>
      </c>
      <c r="C17" s="11" t="s">
        <v>2212</v>
      </c>
      <c r="D17" s="12" t="s">
        <v>31</v>
      </c>
      <c r="E17" s="11" t="s">
        <v>2253</v>
      </c>
      <c r="F17" s="11" t="s">
        <v>2344</v>
      </c>
      <c r="G17" s="11" t="s">
        <v>2346</v>
      </c>
      <c r="H17" s="11" t="s">
        <v>2348</v>
      </c>
      <c r="I17" s="12" t="s">
        <v>30</v>
      </c>
      <c r="J17" s="12" t="s">
        <v>197</v>
      </c>
      <c r="K17" s="12">
        <v>12.0</v>
      </c>
      <c r="L17" s="15" t="s">
        <v>47</v>
      </c>
      <c r="M17" s="17"/>
      <c r="N17" s="17"/>
    </row>
    <row r="18" ht="14.25" customHeight="1">
      <c r="A18" s="19" t="s">
        <v>2357</v>
      </c>
      <c r="B18" s="21" t="s">
        <v>713</v>
      </c>
      <c r="C18" s="21" t="s">
        <v>2212</v>
      </c>
      <c r="D18" s="19" t="s">
        <v>31</v>
      </c>
      <c r="E18" s="21" t="s">
        <v>2253</v>
      </c>
      <c r="F18" s="21" t="s">
        <v>2365</v>
      </c>
      <c r="G18" s="21" t="s">
        <v>2367</v>
      </c>
      <c r="H18" s="21" t="s">
        <v>2368</v>
      </c>
      <c r="I18" s="19" t="s">
        <v>29</v>
      </c>
      <c r="J18" s="19" t="s">
        <v>103</v>
      </c>
      <c r="K18" s="19">
        <v>12.0</v>
      </c>
      <c r="L18" s="15" t="s">
        <v>47</v>
      </c>
      <c r="M18" s="17"/>
      <c r="N18" s="17"/>
    </row>
    <row r="19" ht="14.25" customHeight="1">
      <c r="A19" s="12" t="s">
        <v>2375</v>
      </c>
      <c r="B19" s="11" t="s">
        <v>713</v>
      </c>
      <c r="C19" s="11" t="s">
        <v>2212</v>
      </c>
      <c r="D19" s="12" t="s">
        <v>31</v>
      </c>
      <c r="E19" s="11" t="s">
        <v>2253</v>
      </c>
      <c r="F19" s="11" t="s">
        <v>2380</v>
      </c>
      <c r="G19" s="11" t="s">
        <v>2382</v>
      </c>
      <c r="H19" s="11" t="s">
        <v>2384</v>
      </c>
      <c r="I19" s="12" t="s">
        <v>29</v>
      </c>
      <c r="J19" s="12" t="s">
        <v>103</v>
      </c>
      <c r="K19" s="12">
        <v>18.0</v>
      </c>
      <c r="L19" s="15" t="s">
        <v>47</v>
      </c>
      <c r="M19" s="17"/>
      <c r="N19" s="17"/>
    </row>
    <row r="20" ht="14.25" customHeight="1">
      <c r="A20" s="19" t="s">
        <v>2398</v>
      </c>
      <c r="B20" s="21" t="s">
        <v>713</v>
      </c>
      <c r="C20" s="21" t="s">
        <v>2212</v>
      </c>
      <c r="D20" s="19" t="s">
        <v>31</v>
      </c>
      <c r="E20" s="21" t="s">
        <v>2253</v>
      </c>
      <c r="F20" s="21" t="s">
        <v>2404</v>
      </c>
      <c r="G20" s="21" t="s">
        <v>2407</v>
      </c>
      <c r="H20" s="21" t="s">
        <v>2409</v>
      </c>
      <c r="I20" s="19" t="s">
        <v>28</v>
      </c>
      <c r="J20" s="19" t="s">
        <v>114</v>
      </c>
      <c r="K20" s="19">
        <v>25.0</v>
      </c>
      <c r="L20" s="15" t="s">
        <v>47</v>
      </c>
      <c r="M20" s="17"/>
      <c r="N20" s="17"/>
    </row>
    <row r="21" ht="14.25" customHeight="1">
      <c r="A21" s="12" t="s">
        <v>2416</v>
      </c>
      <c r="B21" s="11" t="s">
        <v>713</v>
      </c>
      <c r="C21" s="11" t="s">
        <v>2212</v>
      </c>
      <c r="D21" s="12" t="s">
        <v>31</v>
      </c>
      <c r="E21" s="11" t="s">
        <v>2420</v>
      </c>
      <c r="F21" s="11" t="s">
        <v>2423</v>
      </c>
      <c r="G21" s="11" t="s">
        <v>2424</v>
      </c>
      <c r="H21" s="11" t="s">
        <v>2426</v>
      </c>
      <c r="I21" s="12" t="s">
        <v>29</v>
      </c>
      <c r="J21" s="12" t="s">
        <v>75</v>
      </c>
      <c r="K21" s="12">
        <v>18.0</v>
      </c>
      <c r="L21" s="15" t="s">
        <v>47</v>
      </c>
      <c r="M21" s="17"/>
      <c r="N21" s="17"/>
    </row>
    <row r="22" ht="14.25" customHeight="1">
      <c r="A22" s="19" t="s">
        <v>2432</v>
      </c>
      <c r="B22" s="21" t="s">
        <v>713</v>
      </c>
      <c r="C22" s="21" t="s">
        <v>2212</v>
      </c>
      <c r="D22" s="19" t="s">
        <v>31</v>
      </c>
      <c r="E22" s="21" t="s">
        <v>2437</v>
      </c>
      <c r="F22" s="21" t="s">
        <v>2439</v>
      </c>
      <c r="G22" s="21" t="s">
        <v>2441</v>
      </c>
      <c r="H22" s="21" t="s">
        <v>2442</v>
      </c>
      <c r="I22" s="19" t="s">
        <v>29</v>
      </c>
      <c r="J22" s="19" t="s">
        <v>75</v>
      </c>
      <c r="K22" s="19">
        <v>20.0</v>
      </c>
      <c r="L22" s="15" t="s">
        <v>47</v>
      </c>
      <c r="M22" s="17"/>
      <c r="N22" s="17"/>
    </row>
    <row r="23" ht="14.25" customHeight="1">
      <c r="A23" s="12" t="s">
        <v>2447</v>
      </c>
      <c r="B23" s="11" t="s">
        <v>713</v>
      </c>
      <c r="C23" s="11" t="s">
        <v>2448</v>
      </c>
      <c r="D23" s="12" t="s">
        <v>31</v>
      </c>
      <c r="E23" s="11" t="s">
        <v>2253</v>
      </c>
      <c r="F23" s="11" t="s">
        <v>2450</v>
      </c>
      <c r="G23" s="11" t="s">
        <v>2451</v>
      </c>
      <c r="H23" s="11" t="s">
        <v>2452</v>
      </c>
      <c r="I23" s="12" t="s">
        <v>28</v>
      </c>
      <c r="J23" s="12" t="s">
        <v>75</v>
      </c>
      <c r="K23" s="12">
        <v>20.0</v>
      </c>
      <c r="L23" s="15" t="s">
        <v>47</v>
      </c>
      <c r="M23" s="17"/>
      <c r="N23" s="17"/>
    </row>
    <row r="24" ht="14.25" customHeight="1">
      <c r="A24" s="19" t="s">
        <v>2457</v>
      </c>
      <c r="B24" s="21" t="s">
        <v>713</v>
      </c>
      <c r="C24" s="21" t="s">
        <v>2448</v>
      </c>
      <c r="D24" s="19" t="s">
        <v>31</v>
      </c>
      <c r="E24" s="21" t="s">
        <v>2253</v>
      </c>
      <c r="F24" s="21" t="s">
        <v>2459</v>
      </c>
      <c r="G24" s="21" t="s">
        <v>2460</v>
      </c>
      <c r="H24" s="21" t="s">
        <v>2462</v>
      </c>
      <c r="I24" s="19" t="s">
        <v>28</v>
      </c>
      <c r="J24" s="19" t="s">
        <v>75</v>
      </c>
      <c r="K24" s="19">
        <v>20.0</v>
      </c>
      <c r="L24" s="15" t="s">
        <v>47</v>
      </c>
      <c r="M24" s="17"/>
      <c r="N24" s="17"/>
    </row>
    <row r="25" ht="14.25" customHeight="1">
      <c r="A25" s="12" t="s">
        <v>2466</v>
      </c>
      <c r="B25" s="11" t="s">
        <v>713</v>
      </c>
      <c r="C25" s="11" t="s">
        <v>2448</v>
      </c>
      <c r="D25" s="12" t="s">
        <v>31</v>
      </c>
      <c r="E25" s="11" t="s">
        <v>2253</v>
      </c>
      <c r="F25" s="11" t="s">
        <v>2470</v>
      </c>
      <c r="G25" s="11" t="s">
        <v>2472</v>
      </c>
      <c r="H25" s="11" t="s">
        <v>2473</v>
      </c>
      <c r="I25" s="12" t="s">
        <v>28</v>
      </c>
      <c r="J25" s="12" t="s">
        <v>75</v>
      </c>
      <c r="K25" s="12">
        <v>25.0</v>
      </c>
      <c r="L25" s="15" t="s">
        <v>47</v>
      </c>
      <c r="M25" s="17"/>
      <c r="N25" s="17"/>
    </row>
    <row r="26" ht="14.25" customHeight="1">
      <c r="A26" s="19" t="s">
        <v>2478</v>
      </c>
      <c r="B26" s="21" t="s">
        <v>713</v>
      </c>
      <c r="C26" s="21" t="s">
        <v>2448</v>
      </c>
      <c r="D26" s="19" t="s">
        <v>31</v>
      </c>
      <c r="E26" s="21" t="s">
        <v>2253</v>
      </c>
      <c r="F26" s="21" t="s">
        <v>2482</v>
      </c>
      <c r="G26" s="21" t="s">
        <v>2483</v>
      </c>
      <c r="H26" s="21" t="s">
        <v>2484</v>
      </c>
      <c r="I26" s="19" t="s">
        <v>29</v>
      </c>
      <c r="J26" s="19" t="s">
        <v>75</v>
      </c>
      <c r="K26" s="19">
        <v>20.0</v>
      </c>
      <c r="L26" s="15" t="s">
        <v>47</v>
      </c>
      <c r="M26" s="17"/>
      <c r="N26" s="17"/>
    </row>
    <row r="27" ht="14.25" customHeight="1">
      <c r="A27" s="12" t="s">
        <v>2486</v>
      </c>
      <c r="B27" s="11" t="s">
        <v>713</v>
      </c>
      <c r="C27" s="11" t="s">
        <v>2448</v>
      </c>
      <c r="D27" s="12" t="s">
        <v>31</v>
      </c>
      <c r="E27" s="11" t="s">
        <v>2491</v>
      </c>
      <c r="F27" s="11" t="s">
        <v>2492</v>
      </c>
      <c r="G27" s="11" t="s">
        <v>2493</v>
      </c>
      <c r="H27" s="11" t="s">
        <v>2494</v>
      </c>
      <c r="I27" s="12" t="s">
        <v>28</v>
      </c>
      <c r="J27" s="12" t="s">
        <v>103</v>
      </c>
      <c r="K27" s="12">
        <v>20.0</v>
      </c>
      <c r="L27" s="15" t="s">
        <v>47</v>
      </c>
      <c r="M27" s="17"/>
      <c r="N27" s="17"/>
    </row>
    <row r="28" ht="14.25" customHeight="1">
      <c r="A28" s="19" t="s">
        <v>2501</v>
      </c>
      <c r="B28" s="21" t="s">
        <v>713</v>
      </c>
      <c r="C28" s="21" t="s">
        <v>2448</v>
      </c>
      <c r="D28" s="19" t="s">
        <v>31</v>
      </c>
      <c r="E28" s="21" t="s">
        <v>2504</v>
      </c>
      <c r="F28" s="21" t="s">
        <v>2507</v>
      </c>
      <c r="G28" s="21" t="s">
        <v>2509</v>
      </c>
      <c r="H28" s="21" t="s">
        <v>2510</v>
      </c>
      <c r="I28" s="19" t="s">
        <v>29</v>
      </c>
      <c r="J28" s="19" t="s">
        <v>103</v>
      </c>
      <c r="K28" s="19">
        <v>15.0</v>
      </c>
      <c r="L28" s="15" t="s">
        <v>47</v>
      </c>
      <c r="M28" s="17"/>
      <c r="N28" s="17"/>
    </row>
    <row r="29" ht="14.25" customHeight="1">
      <c r="A29" s="12" t="s">
        <v>2517</v>
      </c>
      <c r="B29" s="11" t="s">
        <v>713</v>
      </c>
      <c r="C29" s="11" t="s">
        <v>2448</v>
      </c>
      <c r="D29" s="12" t="s">
        <v>31</v>
      </c>
      <c r="E29" s="11" t="s">
        <v>2520</v>
      </c>
      <c r="F29" s="11" t="s">
        <v>2522</v>
      </c>
      <c r="G29" s="11" t="s">
        <v>2524</v>
      </c>
      <c r="H29" s="11" t="s">
        <v>2526</v>
      </c>
      <c r="I29" s="12" t="s">
        <v>29</v>
      </c>
      <c r="J29" s="12" t="s">
        <v>75</v>
      </c>
      <c r="K29" s="12">
        <v>20.0</v>
      </c>
      <c r="L29" s="15" t="s">
        <v>47</v>
      </c>
      <c r="M29" s="17"/>
      <c r="N29" s="17"/>
    </row>
    <row r="30" ht="14.25" customHeight="1">
      <c r="A30" s="19" t="s">
        <v>2532</v>
      </c>
      <c r="B30" s="21" t="s">
        <v>713</v>
      </c>
      <c r="C30" s="21" t="s">
        <v>2533</v>
      </c>
      <c r="D30" s="19" t="s">
        <v>31</v>
      </c>
      <c r="E30" s="21" t="s">
        <v>2535</v>
      </c>
      <c r="F30" s="21" t="s">
        <v>2536</v>
      </c>
      <c r="G30" s="21" t="s">
        <v>2537</v>
      </c>
      <c r="H30" s="21" t="s">
        <v>2538</v>
      </c>
      <c r="I30" s="19" t="s">
        <v>29</v>
      </c>
      <c r="J30" s="19" t="s">
        <v>75</v>
      </c>
      <c r="K30" s="19">
        <v>25.0</v>
      </c>
      <c r="L30" s="15" t="s">
        <v>47</v>
      </c>
      <c r="M30" s="17"/>
      <c r="N30" s="17"/>
    </row>
    <row r="31" ht="14.25" customHeight="1">
      <c r="A31" s="12" t="s">
        <v>2542</v>
      </c>
      <c r="B31" s="11" t="s">
        <v>713</v>
      </c>
      <c r="C31" s="11" t="s">
        <v>2543</v>
      </c>
      <c r="D31" s="12" t="s">
        <v>31</v>
      </c>
      <c r="E31" s="11" t="s">
        <v>2545</v>
      </c>
      <c r="F31" s="11" t="s">
        <v>2546</v>
      </c>
      <c r="G31" s="11" t="s">
        <v>2547</v>
      </c>
      <c r="H31" s="11" t="s">
        <v>2549</v>
      </c>
      <c r="I31" s="12" t="s">
        <v>28</v>
      </c>
      <c r="J31" s="12" t="s">
        <v>75</v>
      </c>
      <c r="K31" s="12">
        <v>20.0</v>
      </c>
      <c r="L31" s="15" t="s">
        <v>47</v>
      </c>
      <c r="M31" s="17"/>
      <c r="N31" s="17"/>
    </row>
    <row r="32" ht="14.25" customHeight="1">
      <c r="A32" s="19" t="s">
        <v>2552</v>
      </c>
      <c r="B32" s="21" t="s">
        <v>713</v>
      </c>
      <c r="C32" s="21" t="s">
        <v>2543</v>
      </c>
      <c r="D32" s="19" t="s">
        <v>31</v>
      </c>
      <c r="E32" s="21" t="s">
        <v>2556</v>
      </c>
      <c r="F32" s="21" t="s">
        <v>2557</v>
      </c>
      <c r="G32" s="21" t="s">
        <v>2559</v>
      </c>
      <c r="H32" s="21" t="s">
        <v>2560</v>
      </c>
      <c r="I32" s="19" t="s">
        <v>28</v>
      </c>
      <c r="J32" s="19" t="s">
        <v>75</v>
      </c>
      <c r="K32" s="19">
        <v>25.0</v>
      </c>
      <c r="L32" s="15" t="s">
        <v>47</v>
      </c>
      <c r="M32" s="17"/>
      <c r="N32" s="17"/>
    </row>
    <row r="33" ht="14.25" customHeight="1">
      <c r="A33" s="12" t="s">
        <v>2565</v>
      </c>
      <c r="B33" s="11" t="s">
        <v>713</v>
      </c>
      <c r="C33" s="11" t="s">
        <v>2543</v>
      </c>
      <c r="D33" s="12" t="s">
        <v>31</v>
      </c>
      <c r="E33" s="11" t="s">
        <v>2556</v>
      </c>
      <c r="F33" s="11" t="s">
        <v>2570</v>
      </c>
      <c r="G33" s="11" t="s">
        <v>2573</v>
      </c>
      <c r="H33" s="11" t="s">
        <v>2575</v>
      </c>
      <c r="I33" s="12" t="s">
        <v>29</v>
      </c>
      <c r="J33" s="12" t="s">
        <v>75</v>
      </c>
      <c r="K33" s="12">
        <v>15.0</v>
      </c>
      <c r="L33" s="15" t="s">
        <v>47</v>
      </c>
      <c r="M33" s="17"/>
      <c r="N33" s="17"/>
    </row>
    <row r="34" ht="14.25" customHeight="1">
      <c r="A34" s="19" t="s">
        <v>2577</v>
      </c>
      <c r="B34" s="21" t="s">
        <v>713</v>
      </c>
      <c r="C34" s="21" t="s">
        <v>2581</v>
      </c>
      <c r="D34" s="19" t="s">
        <v>31</v>
      </c>
      <c r="E34" s="21" t="s">
        <v>2584</v>
      </c>
      <c r="F34" s="21" t="s">
        <v>2585</v>
      </c>
      <c r="G34" s="21" t="s">
        <v>2587</v>
      </c>
      <c r="H34" s="21" t="s">
        <v>2589</v>
      </c>
      <c r="I34" s="19" t="s">
        <v>29</v>
      </c>
      <c r="J34" s="19" t="s">
        <v>75</v>
      </c>
      <c r="K34" s="19">
        <v>45.0</v>
      </c>
      <c r="L34" s="15" t="s">
        <v>47</v>
      </c>
      <c r="M34" s="17"/>
      <c r="N34" s="17"/>
    </row>
    <row r="35" ht="14.25" customHeight="1">
      <c r="A35" s="12" t="s">
        <v>2595</v>
      </c>
      <c r="B35" s="11" t="s">
        <v>713</v>
      </c>
      <c r="C35" s="11" t="s">
        <v>2597</v>
      </c>
      <c r="D35" s="12" t="s">
        <v>31</v>
      </c>
      <c r="E35" s="11" t="s">
        <v>2137</v>
      </c>
      <c r="F35" s="11" t="s">
        <v>2599</v>
      </c>
      <c r="G35" s="11" t="s">
        <v>2600</v>
      </c>
      <c r="H35" s="11" t="s">
        <v>2601</v>
      </c>
      <c r="I35" s="12" t="s">
        <v>29</v>
      </c>
      <c r="J35" s="12" t="s">
        <v>75</v>
      </c>
      <c r="K35" s="12">
        <v>12.0</v>
      </c>
      <c r="L35" s="15" t="s">
        <v>47</v>
      </c>
      <c r="M35" s="17"/>
      <c r="N35" s="17"/>
    </row>
    <row r="36" ht="14.25" customHeight="1">
      <c r="A36" s="19" t="s">
        <v>2608</v>
      </c>
      <c r="B36" s="21" t="s">
        <v>713</v>
      </c>
      <c r="C36" s="21" t="s">
        <v>2597</v>
      </c>
      <c r="D36" s="19" t="s">
        <v>31</v>
      </c>
      <c r="E36" s="21" t="s">
        <v>2612</v>
      </c>
      <c r="F36" s="21" t="s">
        <v>2614</v>
      </c>
      <c r="G36" s="21" t="s">
        <v>2615</v>
      </c>
      <c r="H36" s="21" t="s">
        <v>2616</v>
      </c>
      <c r="I36" s="19" t="s">
        <v>28</v>
      </c>
      <c r="J36" s="19" t="s">
        <v>75</v>
      </c>
      <c r="K36" s="19">
        <v>20.0</v>
      </c>
      <c r="L36" s="15" t="s">
        <v>47</v>
      </c>
      <c r="M36" s="17"/>
      <c r="N36" s="17"/>
    </row>
    <row r="37" ht="14.25" customHeight="1">
      <c r="A37" s="12" t="s">
        <v>2620</v>
      </c>
      <c r="B37" s="11" t="s">
        <v>713</v>
      </c>
      <c r="C37" s="11" t="s">
        <v>2597</v>
      </c>
      <c r="D37" s="12" t="s">
        <v>31</v>
      </c>
      <c r="E37" s="11" t="s">
        <v>2612</v>
      </c>
      <c r="F37" s="11" t="s">
        <v>2623</v>
      </c>
      <c r="G37" s="11" t="s">
        <v>2624</v>
      </c>
      <c r="H37" s="11" t="s">
        <v>2625</v>
      </c>
      <c r="I37" s="12" t="s">
        <v>28</v>
      </c>
      <c r="J37" s="12" t="s">
        <v>75</v>
      </c>
      <c r="K37" s="12">
        <v>25.0</v>
      </c>
      <c r="L37" s="15" t="s">
        <v>47</v>
      </c>
      <c r="M37" s="17"/>
      <c r="N37" s="17"/>
    </row>
    <row r="38" ht="14.25" customHeight="1">
      <c r="A38" s="19" t="s">
        <v>2632</v>
      </c>
      <c r="B38" s="21" t="s">
        <v>713</v>
      </c>
      <c r="C38" s="21" t="s">
        <v>2597</v>
      </c>
      <c r="D38" s="19" t="s">
        <v>31</v>
      </c>
      <c r="E38" s="21" t="s">
        <v>2612</v>
      </c>
      <c r="F38" s="21" t="s">
        <v>2635</v>
      </c>
      <c r="G38" s="21" t="s">
        <v>2637</v>
      </c>
      <c r="H38" s="21" t="s">
        <v>2638</v>
      </c>
      <c r="I38" s="19" t="s">
        <v>29</v>
      </c>
      <c r="J38" s="19" t="s">
        <v>103</v>
      </c>
      <c r="K38" s="19">
        <v>12.0</v>
      </c>
      <c r="L38" s="15" t="s">
        <v>47</v>
      </c>
      <c r="M38" s="17"/>
      <c r="N38" s="17"/>
    </row>
    <row r="39" ht="14.25" customHeight="1">
      <c r="A39" s="12" t="s">
        <v>2643</v>
      </c>
      <c r="B39" s="11" t="s">
        <v>713</v>
      </c>
      <c r="C39" s="11" t="s">
        <v>2597</v>
      </c>
      <c r="D39" s="12" t="s">
        <v>31</v>
      </c>
      <c r="E39" s="11" t="s">
        <v>2648</v>
      </c>
      <c r="F39" s="11" t="s">
        <v>2649</v>
      </c>
      <c r="G39" s="11" t="s">
        <v>2651</v>
      </c>
      <c r="H39" s="11" t="s">
        <v>2652</v>
      </c>
      <c r="I39" s="12" t="s">
        <v>29</v>
      </c>
      <c r="J39" s="12" t="s">
        <v>75</v>
      </c>
      <c r="K39" s="12">
        <v>18.0</v>
      </c>
      <c r="L39" s="15" t="s">
        <v>47</v>
      </c>
      <c r="M39" s="17"/>
      <c r="N39" s="17"/>
    </row>
    <row r="40" ht="14.25" customHeight="1">
      <c r="A40" s="19" t="s">
        <v>2660</v>
      </c>
      <c r="B40" s="21" t="s">
        <v>713</v>
      </c>
      <c r="C40" s="21" t="s">
        <v>2662</v>
      </c>
      <c r="D40" s="19" t="s">
        <v>31</v>
      </c>
      <c r="E40" s="21" t="s">
        <v>2663</v>
      </c>
      <c r="F40" s="21" t="s">
        <v>2664</v>
      </c>
      <c r="G40" s="21" t="s">
        <v>2665</v>
      </c>
      <c r="H40" s="21" t="s">
        <v>2666</v>
      </c>
      <c r="I40" s="19" t="s">
        <v>28</v>
      </c>
      <c r="J40" s="19" t="s">
        <v>75</v>
      </c>
      <c r="K40" s="19">
        <v>30.0</v>
      </c>
      <c r="L40" s="15" t="s">
        <v>47</v>
      </c>
      <c r="M40" s="17"/>
      <c r="N40" s="17"/>
    </row>
    <row r="41" ht="14.25" customHeight="1">
      <c r="A41" s="12" t="s">
        <v>2671</v>
      </c>
      <c r="B41" s="11" t="s">
        <v>713</v>
      </c>
      <c r="C41" s="11" t="s">
        <v>2662</v>
      </c>
      <c r="D41" s="12" t="s">
        <v>31</v>
      </c>
      <c r="E41" s="11" t="s">
        <v>2663</v>
      </c>
      <c r="F41" s="11" t="s">
        <v>2673</v>
      </c>
      <c r="G41" s="11" t="s">
        <v>2674</v>
      </c>
      <c r="H41" s="11" t="s">
        <v>2676</v>
      </c>
      <c r="I41" s="12" t="s">
        <v>29</v>
      </c>
      <c r="J41" s="12" t="s">
        <v>75</v>
      </c>
      <c r="K41" s="12">
        <v>15.0</v>
      </c>
      <c r="L41" s="15" t="s">
        <v>47</v>
      </c>
      <c r="M41" s="17"/>
      <c r="N41" s="17"/>
    </row>
    <row r="42" ht="14.25" customHeight="1">
      <c r="A42" s="19" t="s">
        <v>2681</v>
      </c>
      <c r="B42" s="21" t="s">
        <v>713</v>
      </c>
      <c r="C42" s="21" t="s">
        <v>2662</v>
      </c>
      <c r="D42" s="19" t="s">
        <v>31</v>
      </c>
      <c r="E42" s="21" t="s">
        <v>2683</v>
      </c>
      <c r="F42" s="21" t="s">
        <v>2685</v>
      </c>
      <c r="G42" s="21" t="s">
        <v>2686</v>
      </c>
      <c r="H42" s="21" t="s">
        <v>2690</v>
      </c>
      <c r="I42" s="19" t="s">
        <v>29</v>
      </c>
      <c r="J42" s="19" t="s">
        <v>75</v>
      </c>
      <c r="K42" s="19">
        <v>20.0</v>
      </c>
      <c r="L42" s="15" t="s">
        <v>47</v>
      </c>
      <c r="M42" s="17"/>
      <c r="N42" s="17"/>
    </row>
    <row r="43" ht="14.25" customHeight="1">
      <c r="A43" s="12" t="s">
        <v>2695</v>
      </c>
      <c r="B43" s="11" t="s">
        <v>713</v>
      </c>
      <c r="C43" s="11" t="s">
        <v>2696</v>
      </c>
      <c r="D43" s="12" t="s">
        <v>31</v>
      </c>
      <c r="E43" s="11" t="s">
        <v>2698</v>
      </c>
      <c r="F43" s="11" t="s">
        <v>2700</v>
      </c>
      <c r="G43" s="11" t="s">
        <v>2701</v>
      </c>
      <c r="H43" s="11" t="s">
        <v>2703</v>
      </c>
      <c r="I43" s="12" t="s">
        <v>28</v>
      </c>
      <c r="J43" s="12" t="s">
        <v>352</v>
      </c>
      <c r="K43" s="12">
        <v>25.0</v>
      </c>
      <c r="L43" s="15" t="s">
        <v>47</v>
      </c>
      <c r="M43" s="17"/>
      <c r="N43" s="17"/>
    </row>
    <row r="44" ht="14.25" customHeight="1">
      <c r="A44" s="19" t="s">
        <v>2717</v>
      </c>
      <c r="B44" s="21" t="s">
        <v>713</v>
      </c>
      <c r="C44" s="21" t="s">
        <v>2696</v>
      </c>
      <c r="D44" s="19" t="s">
        <v>183</v>
      </c>
      <c r="E44" s="21" t="s">
        <v>2719</v>
      </c>
      <c r="F44" s="21" t="s">
        <v>2721</v>
      </c>
      <c r="G44" s="21" t="s">
        <v>2724</v>
      </c>
      <c r="H44" s="21" t="s">
        <v>2725</v>
      </c>
      <c r="I44" s="19" t="s">
        <v>28</v>
      </c>
      <c r="J44" s="19" t="s">
        <v>352</v>
      </c>
      <c r="K44" s="19">
        <v>30.0</v>
      </c>
      <c r="L44" s="15" t="s">
        <v>47</v>
      </c>
      <c r="M44" s="17"/>
      <c r="N44" s="17"/>
    </row>
    <row r="45" ht="14.25" customHeight="1">
      <c r="A45" s="12" t="s">
        <v>2731</v>
      </c>
      <c r="B45" s="11" t="s">
        <v>713</v>
      </c>
      <c r="C45" s="11" t="s">
        <v>1767</v>
      </c>
      <c r="D45" s="12" t="s">
        <v>31</v>
      </c>
      <c r="E45" s="11" t="s">
        <v>2735</v>
      </c>
      <c r="F45" s="11" t="s">
        <v>2738</v>
      </c>
      <c r="G45" s="11" t="s">
        <v>2740</v>
      </c>
      <c r="H45" s="11" t="s">
        <v>2741</v>
      </c>
      <c r="I45" s="12" t="s">
        <v>28</v>
      </c>
      <c r="J45" s="12" t="s">
        <v>114</v>
      </c>
      <c r="K45" s="12">
        <v>30.0</v>
      </c>
      <c r="L45" s="15" t="s">
        <v>47</v>
      </c>
      <c r="M45" s="17"/>
      <c r="N45" s="17"/>
    </row>
    <row r="46" ht="14.25" customHeight="1">
      <c r="A46" s="19" t="s">
        <v>2747</v>
      </c>
      <c r="B46" s="21" t="s">
        <v>713</v>
      </c>
      <c r="C46" s="21" t="s">
        <v>1767</v>
      </c>
      <c r="D46" s="19" t="s">
        <v>31</v>
      </c>
      <c r="E46" s="21" t="s">
        <v>2749</v>
      </c>
      <c r="F46" s="21" t="s">
        <v>2751</v>
      </c>
      <c r="G46" s="21" t="s">
        <v>2754</v>
      </c>
      <c r="H46" s="21" t="s">
        <v>2756</v>
      </c>
      <c r="I46" s="19" t="s">
        <v>28</v>
      </c>
      <c r="J46" s="19" t="s">
        <v>114</v>
      </c>
      <c r="K46" s="19">
        <v>30.0</v>
      </c>
      <c r="L46" s="15" t="s">
        <v>47</v>
      </c>
      <c r="M46" s="17"/>
      <c r="N46" s="17"/>
    </row>
    <row r="47" ht="14.25" customHeight="1">
      <c r="A47" s="12" t="s">
        <v>2762</v>
      </c>
      <c r="B47" s="11" t="s">
        <v>713</v>
      </c>
      <c r="C47" s="11" t="s">
        <v>1767</v>
      </c>
      <c r="D47" s="12" t="s">
        <v>31</v>
      </c>
      <c r="E47" s="11" t="s">
        <v>2764</v>
      </c>
      <c r="F47" s="11" t="s">
        <v>2765</v>
      </c>
      <c r="G47" s="11" t="s">
        <v>2767</v>
      </c>
      <c r="H47" s="11" t="s">
        <v>2769</v>
      </c>
      <c r="I47" s="12" t="s">
        <v>28</v>
      </c>
      <c r="J47" s="12" t="s">
        <v>114</v>
      </c>
      <c r="K47" s="12">
        <v>25.0</v>
      </c>
      <c r="L47" s="15" t="s">
        <v>47</v>
      </c>
      <c r="M47" s="17"/>
      <c r="N47" s="17"/>
    </row>
    <row r="48" ht="14.25" customHeight="1">
      <c r="A48" s="19" t="s">
        <v>2775</v>
      </c>
      <c r="B48" s="21" t="s">
        <v>713</v>
      </c>
      <c r="C48" s="21" t="s">
        <v>1767</v>
      </c>
      <c r="D48" s="19" t="s">
        <v>31</v>
      </c>
      <c r="E48" s="21" t="s">
        <v>2777</v>
      </c>
      <c r="F48" s="21" t="s">
        <v>2778</v>
      </c>
      <c r="G48" s="21" t="s">
        <v>2780</v>
      </c>
      <c r="H48" s="21" t="s">
        <v>2781</v>
      </c>
      <c r="I48" s="19" t="s">
        <v>29</v>
      </c>
      <c r="J48" s="19" t="s">
        <v>114</v>
      </c>
      <c r="K48" s="19">
        <v>20.0</v>
      </c>
      <c r="L48" s="15" t="s">
        <v>47</v>
      </c>
      <c r="M48" s="17"/>
      <c r="N48" s="17"/>
    </row>
    <row r="49" ht="14.25" customHeight="1">
      <c r="A49" s="12" t="s">
        <v>2788</v>
      </c>
      <c r="B49" s="11" t="s">
        <v>713</v>
      </c>
      <c r="C49" s="11" t="s">
        <v>2789</v>
      </c>
      <c r="D49" s="12" t="s">
        <v>183</v>
      </c>
      <c r="E49" s="11" t="s">
        <v>2790</v>
      </c>
      <c r="F49" s="11" t="s">
        <v>2792</v>
      </c>
      <c r="G49" s="11" t="s">
        <v>2794</v>
      </c>
      <c r="H49" s="11" t="s">
        <v>2803</v>
      </c>
      <c r="I49" s="12" t="s">
        <v>28</v>
      </c>
      <c r="J49" s="12" t="s">
        <v>352</v>
      </c>
      <c r="K49" s="12">
        <v>30.0</v>
      </c>
      <c r="L49" s="15" t="s">
        <v>47</v>
      </c>
      <c r="M49" s="17"/>
      <c r="N49" s="17"/>
    </row>
    <row r="50" ht="14.25" customHeight="1">
      <c r="A50" s="19" t="s">
        <v>2808</v>
      </c>
      <c r="B50" s="21" t="s">
        <v>713</v>
      </c>
      <c r="C50" s="21" t="s">
        <v>2789</v>
      </c>
      <c r="D50" s="19" t="s">
        <v>183</v>
      </c>
      <c r="E50" s="21" t="s">
        <v>2253</v>
      </c>
      <c r="F50" s="21" t="s">
        <v>2815</v>
      </c>
      <c r="G50" s="21" t="s">
        <v>2816</v>
      </c>
      <c r="H50" s="21" t="s">
        <v>2818</v>
      </c>
      <c r="I50" s="19" t="s">
        <v>29</v>
      </c>
      <c r="J50" s="19" t="s">
        <v>75</v>
      </c>
      <c r="K50" s="19">
        <v>25.0</v>
      </c>
      <c r="L50" s="15" t="s">
        <v>47</v>
      </c>
      <c r="M50" s="17"/>
      <c r="N50" s="17"/>
    </row>
    <row r="51" ht="14.25" customHeight="1">
      <c r="A51" s="12" t="s">
        <v>2827</v>
      </c>
      <c r="B51" s="11" t="s">
        <v>713</v>
      </c>
      <c r="C51" s="11" t="s">
        <v>1515</v>
      </c>
      <c r="D51" s="12" t="s">
        <v>33</v>
      </c>
      <c r="E51" s="11" t="s">
        <v>2829</v>
      </c>
      <c r="F51" s="11" t="s">
        <v>2831</v>
      </c>
      <c r="G51" s="11" t="s">
        <v>2834</v>
      </c>
      <c r="H51" s="11" t="s">
        <v>2835</v>
      </c>
      <c r="I51" s="12" t="s">
        <v>28</v>
      </c>
      <c r="J51" s="12" t="s">
        <v>352</v>
      </c>
      <c r="K51" s="12">
        <v>35.0</v>
      </c>
      <c r="L51" s="15" t="s">
        <v>47</v>
      </c>
      <c r="M51" s="17"/>
      <c r="N51" s="17"/>
    </row>
    <row r="52" ht="14.25" customHeight="1">
      <c r="A52" s="19" t="s">
        <v>2844</v>
      </c>
      <c r="B52" s="21" t="s">
        <v>713</v>
      </c>
      <c r="C52" s="21" t="s">
        <v>2845</v>
      </c>
      <c r="D52" s="19" t="s">
        <v>183</v>
      </c>
      <c r="E52" s="21" t="s">
        <v>2846</v>
      </c>
      <c r="F52" s="21" t="s">
        <v>2848</v>
      </c>
      <c r="G52" s="21" t="s">
        <v>2849</v>
      </c>
      <c r="H52" s="21" t="s">
        <v>2850</v>
      </c>
      <c r="I52" s="19" t="s">
        <v>28</v>
      </c>
      <c r="J52" s="19" t="s">
        <v>75</v>
      </c>
      <c r="K52" s="19">
        <v>30.0</v>
      </c>
      <c r="L52" s="15" t="s">
        <v>47</v>
      </c>
      <c r="M52" s="17"/>
      <c r="N52" s="17"/>
    </row>
    <row r="53" ht="14.25" customHeight="1">
      <c r="A53" s="12" t="s">
        <v>2854</v>
      </c>
      <c r="B53" s="11" t="s">
        <v>713</v>
      </c>
      <c r="C53" s="11" t="s">
        <v>2855</v>
      </c>
      <c r="D53" s="12" t="s">
        <v>31</v>
      </c>
      <c r="E53" s="11" t="s">
        <v>2857</v>
      </c>
      <c r="F53" s="11" t="s">
        <v>2859</v>
      </c>
      <c r="G53" s="11" t="s">
        <v>2860</v>
      </c>
      <c r="H53" s="11" t="s">
        <v>2861</v>
      </c>
      <c r="I53" s="12" t="s">
        <v>29</v>
      </c>
      <c r="J53" s="12" t="s">
        <v>102</v>
      </c>
      <c r="K53" s="12">
        <v>30.0</v>
      </c>
      <c r="L53" s="15" t="s">
        <v>47</v>
      </c>
      <c r="M53" s="17"/>
      <c r="N53" s="17"/>
    </row>
    <row r="54" ht="14.25" customHeight="1">
      <c r="A54" s="19" t="s">
        <v>2865</v>
      </c>
      <c r="B54" s="21" t="s">
        <v>713</v>
      </c>
      <c r="C54" s="21" t="s">
        <v>2855</v>
      </c>
      <c r="D54" s="19" t="s">
        <v>31</v>
      </c>
      <c r="E54" s="21" t="s">
        <v>2857</v>
      </c>
      <c r="F54" s="21" t="s">
        <v>2867</v>
      </c>
      <c r="G54" s="21" t="s">
        <v>2869</v>
      </c>
      <c r="H54" s="21" t="s">
        <v>2871</v>
      </c>
      <c r="I54" s="19" t="s">
        <v>29</v>
      </c>
      <c r="J54" s="19" t="s">
        <v>102</v>
      </c>
      <c r="K54" s="19">
        <v>25.0</v>
      </c>
      <c r="L54" s="15" t="s">
        <v>47</v>
      </c>
      <c r="M54" s="17"/>
      <c r="N54" s="17"/>
    </row>
    <row r="55" ht="14.25" customHeight="1">
      <c r="A55" s="12" t="s">
        <v>2874</v>
      </c>
      <c r="B55" s="11" t="s">
        <v>713</v>
      </c>
      <c r="C55" s="11" t="s">
        <v>2855</v>
      </c>
      <c r="D55" s="12" t="s">
        <v>31</v>
      </c>
      <c r="E55" s="11" t="s">
        <v>2876</v>
      </c>
      <c r="F55" s="11" t="s">
        <v>2877</v>
      </c>
      <c r="G55" s="11" t="s">
        <v>2878</v>
      </c>
      <c r="H55" s="11" t="s">
        <v>2879</v>
      </c>
      <c r="I55" s="12" t="s">
        <v>29</v>
      </c>
      <c r="J55" s="12" t="s">
        <v>102</v>
      </c>
      <c r="K55" s="12">
        <v>25.0</v>
      </c>
      <c r="L55" s="15" t="s">
        <v>47</v>
      </c>
      <c r="M55" s="17"/>
      <c r="N55" s="17"/>
    </row>
    <row r="56" ht="14.25" customHeight="1">
      <c r="A56" s="19" t="s">
        <v>2882</v>
      </c>
      <c r="B56" s="21" t="s">
        <v>713</v>
      </c>
      <c r="C56" s="21" t="s">
        <v>2883</v>
      </c>
      <c r="D56" s="19" t="s">
        <v>31</v>
      </c>
      <c r="E56" s="21" t="s">
        <v>2885</v>
      </c>
      <c r="F56" s="21" t="s">
        <v>2886</v>
      </c>
      <c r="G56" s="21" t="s">
        <v>2887</v>
      </c>
      <c r="H56" s="21" t="s">
        <v>2889</v>
      </c>
      <c r="I56" s="19" t="s">
        <v>30</v>
      </c>
      <c r="J56" s="19" t="s">
        <v>102</v>
      </c>
      <c r="K56" s="19">
        <v>30.0</v>
      </c>
      <c r="L56" s="15" t="s">
        <v>47</v>
      </c>
      <c r="M56" s="17"/>
      <c r="N56" s="17"/>
    </row>
    <row r="57" ht="14.25" customHeight="1">
      <c r="A57" s="12" t="s">
        <v>2892</v>
      </c>
      <c r="B57" s="11" t="s">
        <v>713</v>
      </c>
      <c r="C57" s="11" t="s">
        <v>2893</v>
      </c>
      <c r="D57" s="12" t="s">
        <v>31</v>
      </c>
      <c r="E57" s="11" t="s">
        <v>2895</v>
      </c>
      <c r="F57" s="11" t="s">
        <v>2896</v>
      </c>
      <c r="G57" s="11" t="s">
        <v>2897</v>
      </c>
      <c r="H57" s="11" t="s">
        <v>2898</v>
      </c>
      <c r="I57" s="12" t="s">
        <v>29</v>
      </c>
      <c r="J57" s="12" t="s">
        <v>75</v>
      </c>
      <c r="K57" s="12">
        <v>25.0</v>
      </c>
      <c r="L57" s="15" t="s">
        <v>47</v>
      </c>
      <c r="M57" s="17"/>
      <c r="N57" s="17"/>
    </row>
    <row r="58" ht="14.25" customHeight="1"/>
    <row r="59" ht="14.25" customHeight="1">
      <c r="J59" s="3" t="s">
        <v>789</v>
      </c>
      <c r="K59" s="27">
        <f>SUM(K3:K57)</f>
        <v>1204</v>
      </c>
    </row>
    <row r="60" ht="14.25" customHeight="1">
      <c r="J60" s="3" t="s">
        <v>808</v>
      </c>
      <c r="K60" s="28">
        <f>K59/60</f>
        <v>20.06666667</v>
      </c>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57"/>
  <mergeCells count="1">
    <mergeCell ref="A1:N1"/>
  </mergeCells>
  <conditionalFormatting sqref="L3:L57">
    <cfRule type="cellIs" dxfId="0" priority="1" operator="equal">
      <formula>"Pass"</formula>
    </cfRule>
  </conditionalFormatting>
  <conditionalFormatting sqref="L3:L57">
    <cfRule type="cellIs" dxfId="1" priority="2" operator="equal">
      <formula>"Fail"</formula>
    </cfRule>
  </conditionalFormatting>
  <conditionalFormatting sqref="L3:L57">
    <cfRule type="cellIs" dxfId="2" priority="3" operator="equal">
      <formula>"Blocked"</formula>
    </cfRule>
  </conditionalFormatting>
  <dataValidations>
    <dataValidation type="list" allowBlank="1" sqref="L3:L57">
      <formula1>"Not Run,Pass,Fail,Blocked,N-A"</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2474</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2512</v>
      </c>
      <c r="B3" s="11" t="s">
        <v>769</v>
      </c>
      <c r="C3" s="11" t="s">
        <v>2519</v>
      </c>
      <c r="D3" s="12" t="s">
        <v>31</v>
      </c>
      <c r="E3" s="11" t="s">
        <v>193</v>
      </c>
      <c r="F3" s="11" t="s">
        <v>2523</v>
      </c>
      <c r="G3" s="11" t="s">
        <v>2525</v>
      </c>
      <c r="H3" s="11" t="s">
        <v>2527</v>
      </c>
      <c r="I3" s="12" t="s">
        <v>29</v>
      </c>
      <c r="J3" s="12" t="s">
        <v>75</v>
      </c>
      <c r="K3" s="12">
        <v>12.0</v>
      </c>
      <c r="L3" s="15" t="s">
        <v>47</v>
      </c>
      <c r="M3" s="17"/>
      <c r="N3" s="17"/>
    </row>
    <row r="4" ht="14.25" customHeight="1">
      <c r="A4" s="19" t="s">
        <v>2555</v>
      </c>
      <c r="B4" s="21" t="s">
        <v>769</v>
      </c>
      <c r="C4" s="21" t="s">
        <v>2562</v>
      </c>
      <c r="D4" s="19" t="s">
        <v>31</v>
      </c>
      <c r="E4" s="21" t="s">
        <v>2563</v>
      </c>
      <c r="F4" s="21" t="s">
        <v>2566</v>
      </c>
      <c r="G4" s="21" t="s">
        <v>2567</v>
      </c>
      <c r="H4" s="21" t="s">
        <v>2568</v>
      </c>
      <c r="I4" s="19" t="s">
        <v>28</v>
      </c>
      <c r="J4" s="19" t="s">
        <v>75</v>
      </c>
      <c r="K4" s="19">
        <v>15.0</v>
      </c>
      <c r="L4" s="15" t="s">
        <v>47</v>
      </c>
      <c r="M4" s="17"/>
      <c r="N4" s="17"/>
    </row>
    <row r="5" ht="14.25" customHeight="1">
      <c r="A5" s="12" t="s">
        <v>2578</v>
      </c>
      <c r="B5" s="11" t="s">
        <v>769</v>
      </c>
      <c r="C5" s="11" t="s">
        <v>2562</v>
      </c>
      <c r="D5" s="12" t="s">
        <v>31</v>
      </c>
      <c r="E5" s="11" t="s">
        <v>2563</v>
      </c>
      <c r="F5" s="11" t="s">
        <v>2586</v>
      </c>
      <c r="G5" s="11" t="s">
        <v>2588</v>
      </c>
      <c r="H5" s="11" t="s">
        <v>2591</v>
      </c>
      <c r="I5" s="12" t="s">
        <v>28</v>
      </c>
      <c r="J5" s="12" t="s">
        <v>75</v>
      </c>
      <c r="K5" s="12">
        <v>25.0</v>
      </c>
      <c r="L5" s="15" t="s">
        <v>47</v>
      </c>
      <c r="M5" s="17"/>
      <c r="N5" s="17"/>
    </row>
    <row r="6" ht="14.25" customHeight="1">
      <c r="A6" s="19" t="s">
        <v>2598</v>
      </c>
      <c r="B6" s="21" t="s">
        <v>769</v>
      </c>
      <c r="C6" s="21" t="s">
        <v>2562</v>
      </c>
      <c r="D6" s="19" t="s">
        <v>183</v>
      </c>
      <c r="E6" s="21" t="s">
        <v>2602</v>
      </c>
      <c r="F6" s="21" t="s">
        <v>2604</v>
      </c>
      <c r="G6" s="21" t="s">
        <v>2605</v>
      </c>
      <c r="H6" s="21" t="s">
        <v>2606</v>
      </c>
      <c r="I6" s="19" t="s">
        <v>28</v>
      </c>
      <c r="J6" s="19" t="s">
        <v>352</v>
      </c>
      <c r="K6" s="19">
        <v>25.0</v>
      </c>
      <c r="L6" s="15" t="s">
        <v>47</v>
      </c>
      <c r="M6" s="17"/>
      <c r="N6" s="17"/>
    </row>
    <row r="7" ht="14.25" customHeight="1">
      <c r="A7" s="12" t="s">
        <v>2613</v>
      </c>
      <c r="B7" s="11" t="s">
        <v>769</v>
      </c>
      <c r="C7" s="11" t="s">
        <v>2562</v>
      </c>
      <c r="D7" s="12" t="s">
        <v>31</v>
      </c>
      <c r="E7" s="11" t="s">
        <v>2563</v>
      </c>
      <c r="F7" s="11" t="s">
        <v>2627</v>
      </c>
      <c r="G7" s="11" t="s">
        <v>2628</v>
      </c>
      <c r="H7" s="11" t="s">
        <v>2630</v>
      </c>
      <c r="I7" s="12" t="s">
        <v>28</v>
      </c>
      <c r="J7" s="12" t="s">
        <v>75</v>
      </c>
      <c r="K7" s="12">
        <v>25.0</v>
      </c>
      <c r="L7" s="15" t="s">
        <v>47</v>
      </c>
      <c r="M7" s="17"/>
      <c r="N7" s="17"/>
    </row>
    <row r="8" ht="14.25" customHeight="1">
      <c r="A8" s="19" t="s">
        <v>2636</v>
      </c>
      <c r="B8" s="21" t="s">
        <v>769</v>
      </c>
      <c r="C8" s="21" t="s">
        <v>2562</v>
      </c>
      <c r="D8" s="19" t="s">
        <v>31</v>
      </c>
      <c r="E8" s="21" t="s">
        <v>2563</v>
      </c>
      <c r="F8" s="21" t="s">
        <v>2640</v>
      </c>
      <c r="G8" s="21" t="s">
        <v>2641</v>
      </c>
      <c r="H8" s="21" t="s">
        <v>2642</v>
      </c>
      <c r="I8" s="19" t="s">
        <v>29</v>
      </c>
      <c r="J8" s="19" t="s">
        <v>75</v>
      </c>
      <c r="K8" s="19">
        <v>25.0</v>
      </c>
      <c r="L8" s="15" t="s">
        <v>47</v>
      </c>
      <c r="M8" s="17"/>
      <c r="N8" s="17"/>
    </row>
    <row r="9" ht="14.25" customHeight="1">
      <c r="A9" s="12" t="s">
        <v>2650</v>
      </c>
      <c r="B9" s="11" t="s">
        <v>769</v>
      </c>
      <c r="C9" s="11" t="s">
        <v>2562</v>
      </c>
      <c r="D9" s="12" t="s">
        <v>31</v>
      </c>
      <c r="E9" s="11" t="s">
        <v>2563</v>
      </c>
      <c r="F9" s="11" t="s">
        <v>2655</v>
      </c>
      <c r="G9" s="11" t="s">
        <v>2657</v>
      </c>
      <c r="H9" s="11" t="s">
        <v>2659</v>
      </c>
      <c r="I9" s="12" t="s">
        <v>29</v>
      </c>
      <c r="J9" s="12" t="s">
        <v>75</v>
      </c>
      <c r="K9" s="12">
        <v>25.0</v>
      </c>
      <c r="L9" s="15" t="s">
        <v>47</v>
      </c>
      <c r="M9" s="17"/>
      <c r="N9" s="17"/>
    </row>
    <row r="10" ht="14.25" customHeight="1">
      <c r="A10" s="19" t="s">
        <v>2682</v>
      </c>
      <c r="B10" s="21" t="s">
        <v>769</v>
      </c>
      <c r="C10" s="21" t="s">
        <v>2562</v>
      </c>
      <c r="D10" s="19" t="s">
        <v>31</v>
      </c>
      <c r="E10" s="21" t="s">
        <v>2563</v>
      </c>
      <c r="F10" s="21" t="s">
        <v>2688</v>
      </c>
      <c r="G10" s="21" t="s">
        <v>2691</v>
      </c>
      <c r="H10" s="21" t="s">
        <v>2693</v>
      </c>
      <c r="I10" s="19" t="s">
        <v>29</v>
      </c>
      <c r="J10" s="19" t="s">
        <v>75</v>
      </c>
      <c r="K10" s="19">
        <v>20.0</v>
      </c>
      <c r="L10" s="15" t="s">
        <v>47</v>
      </c>
      <c r="M10" s="17"/>
      <c r="N10" s="17"/>
    </row>
    <row r="11" ht="14.25" customHeight="1">
      <c r="A11" s="12" t="s">
        <v>2699</v>
      </c>
      <c r="B11" s="11" t="s">
        <v>769</v>
      </c>
      <c r="C11" s="11" t="s">
        <v>2562</v>
      </c>
      <c r="D11" s="12" t="s">
        <v>31</v>
      </c>
      <c r="E11" s="11" t="s">
        <v>2705</v>
      </c>
      <c r="F11" s="11" t="s">
        <v>2707</v>
      </c>
      <c r="G11" s="11" t="s">
        <v>2709</v>
      </c>
      <c r="H11" s="11" t="s">
        <v>2710</v>
      </c>
      <c r="I11" s="12" t="s">
        <v>29</v>
      </c>
      <c r="J11" s="12" t="s">
        <v>75</v>
      </c>
      <c r="K11" s="12">
        <v>25.0</v>
      </c>
      <c r="L11" s="15" t="s">
        <v>47</v>
      </c>
      <c r="M11" s="17"/>
      <c r="N11" s="17"/>
    </row>
    <row r="12" ht="14.25" customHeight="1">
      <c r="A12" s="19" t="s">
        <v>2715</v>
      </c>
      <c r="B12" s="21" t="s">
        <v>769</v>
      </c>
      <c r="C12" s="21" t="s">
        <v>2562</v>
      </c>
      <c r="D12" s="19" t="s">
        <v>31</v>
      </c>
      <c r="E12" s="21" t="s">
        <v>2563</v>
      </c>
      <c r="F12" s="21" t="s">
        <v>2718</v>
      </c>
      <c r="G12" s="21" t="s">
        <v>2720</v>
      </c>
      <c r="H12" s="21" t="s">
        <v>2723</v>
      </c>
      <c r="I12" s="19" t="s">
        <v>29</v>
      </c>
      <c r="J12" s="19" t="s">
        <v>75</v>
      </c>
      <c r="K12" s="19">
        <v>15.0</v>
      </c>
      <c r="L12" s="15" t="s">
        <v>47</v>
      </c>
      <c r="M12" s="17"/>
      <c r="N12" s="17"/>
    </row>
    <row r="13" ht="14.25" customHeight="1">
      <c r="A13" s="12" t="s">
        <v>2729</v>
      </c>
      <c r="B13" s="11" t="s">
        <v>769</v>
      </c>
      <c r="C13" s="11" t="s">
        <v>2732</v>
      </c>
      <c r="D13" s="12" t="s">
        <v>31</v>
      </c>
      <c r="E13" s="11" t="s">
        <v>2733</v>
      </c>
      <c r="F13" s="11" t="s">
        <v>2734</v>
      </c>
      <c r="G13" s="11" t="s">
        <v>2736</v>
      </c>
      <c r="H13" s="11" t="s">
        <v>2739</v>
      </c>
      <c r="I13" s="12" t="s">
        <v>29</v>
      </c>
      <c r="J13" s="12" t="s">
        <v>75</v>
      </c>
      <c r="K13" s="12">
        <v>12.0</v>
      </c>
      <c r="L13" s="15" t="s">
        <v>47</v>
      </c>
      <c r="M13" s="17"/>
      <c r="N13" s="17"/>
    </row>
    <row r="14" ht="14.25" customHeight="1">
      <c r="A14" s="19" t="s">
        <v>2746</v>
      </c>
      <c r="B14" s="21" t="s">
        <v>769</v>
      </c>
      <c r="C14" s="21" t="s">
        <v>2732</v>
      </c>
      <c r="D14" s="19" t="s">
        <v>31</v>
      </c>
      <c r="E14" s="21" t="s">
        <v>2748</v>
      </c>
      <c r="F14" s="21" t="s">
        <v>2750</v>
      </c>
      <c r="G14" s="21" t="s">
        <v>2753</v>
      </c>
      <c r="H14" s="21" t="s">
        <v>2755</v>
      </c>
      <c r="I14" s="19" t="s">
        <v>29</v>
      </c>
      <c r="J14" s="19" t="s">
        <v>75</v>
      </c>
      <c r="K14" s="19">
        <v>15.0</v>
      </c>
      <c r="L14" s="15" t="s">
        <v>47</v>
      </c>
      <c r="M14" s="17"/>
      <c r="N14" s="17"/>
    </row>
    <row r="15" ht="14.25" customHeight="1">
      <c r="A15" s="12" t="s">
        <v>2763</v>
      </c>
      <c r="B15" s="11" t="s">
        <v>769</v>
      </c>
      <c r="C15" s="11" t="s">
        <v>2732</v>
      </c>
      <c r="D15" s="12" t="s">
        <v>31</v>
      </c>
      <c r="E15" s="11" t="s">
        <v>2748</v>
      </c>
      <c r="F15" s="11" t="s">
        <v>2768</v>
      </c>
      <c r="G15" s="11" t="s">
        <v>2770</v>
      </c>
      <c r="H15" s="11" t="s">
        <v>2771</v>
      </c>
      <c r="I15" s="12" t="s">
        <v>28</v>
      </c>
      <c r="J15" s="12" t="s">
        <v>103</v>
      </c>
      <c r="K15" s="12">
        <v>20.0</v>
      </c>
      <c r="L15" s="15" t="s">
        <v>47</v>
      </c>
      <c r="M15" s="17"/>
      <c r="N15" s="17"/>
    </row>
    <row r="16" ht="14.25" customHeight="1">
      <c r="A16" s="19" t="s">
        <v>2776</v>
      </c>
      <c r="B16" s="21" t="s">
        <v>769</v>
      </c>
      <c r="C16" s="21" t="s">
        <v>2732</v>
      </c>
      <c r="D16" s="19" t="s">
        <v>31</v>
      </c>
      <c r="E16" s="21" t="s">
        <v>2748</v>
      </c>
      <c r="F16" s="21" t="s">
        <v>2782</v>
      </c>
      <c r="G16" s="21" t="s">
        <v>1974</v>
      </c>
      <c r="H16" s="21" t="s">
        <v>2785</v>
      </c>
      <c r="I16" s="19" t="s">
        <v>29</v>
      </c>
      <c r="J16" s="19" t="s">
        <v>75</v>
      </c>
      <c r="K16" s="19">
        <v>15.0</v>
      </c>
      <c r="L16" s="15" t="s">
        <v>47</v>
      </c>
      <c r="M16" s="17"/>
      <c r="N16" s="17"/>
    </row>
    <row r="17" ht="14.25" customHeight="1">
      <c r="A17" s="12" t="s">
        <v>2791</v>
      </c>
      <c r="B17" s="11" t="s">
        <v>769</v>
      </c>
      <c r="C17" s="11" t="s">
        <v>2795</v>
      </c>
      <c r="D17" s="12" t="s">
        <v>31</v>
      </c>
      <c r="E17" s="11" t="s">
        <v>2733</v>
      </c>
      <c r="F17" s="11" t="s">
        <v>2796</v>
      </c>
      <c r="G17" s="11" t="s">
        <v>2798</v>
      </c>
      <c r="H17" s="11" t="s">
        <v>2800</v>
      </c>
      <c r="I17" s="12" t="s">
        <v>29</v>
      </c>
      <c r="J17" s="12" t="s">
        <v>75</v>
      </c>
      <c r="K17" s="12">
        <v>12.0</v>
      </c>
      <c r="L17" s="15" t="s">
        <v>47</v>
      </c>
      <c r="M17" s="17"/>
      <c r="N17" s="17"/>
    </row>
    <row r="18" ht="14.25" customHeight="1">
      <c r="A18" s="19" t="s">
        <v>2804</v>
      </c>
      <c r="B18" s="21" t="s">
        <v>769</v>
      </c>
      <c r="C18" s="21" t="s">
        <v>2795</v>
      </c>
      <c r="D18" s="19" t="s">
        <v>31</v>
      </c>
      <c r="E18" s="21" t="s">
        <v>2806</v>
      </c>
      <c r="F18" s="21" t="s">
        <v>2807</v>
      </c>
      <c r="G18" s="21" t="s">
        <v>2810</v>
      </c>
      <c r="H18" s="21" t="s">
        <v>2812</v>
      </c>
      <c r="I18" s="19" t="s">
        <v>28</v>
      </c>
      <c r="J18" s="19" t="s">
        <v>75</v>
      </c>
      <c r="K18" s="19">
        <v>25.0</v>
      </c>
      <c r="L18" s="15" t="s">
        <v>47</v>
      </c>
      <c r="M18" s="17"/>
      <c r="N18" s="17"/>
    </row>
    <row r="19" ht="14.25" customHeight="1">
      <c r="A19" s="12" t="s">
        <v>2817</v>
      </c>
      <c r="B19" s="11" t="s">
        <v>769</v>
      </c>
      <c r="C19" s="11" t="s">
        <v>2795</v>
      </c>
      <c r="D19" s="12" t="s">
        <v>31</v>
      </c>
      <c r="E19" s="11" t="s">
        <v>2821</v>
      </c>
      <c r="F19" s="11" t="s">
        <v>2824</v>
      </c>
      <c r="G19" s="11" t="s">
        <v>2826</v>
      </c>
      <c r="H19" s="11" t="s">
        <v>2828</v>
      </c>
      <c r="I19" s="12" t="s">
        <v>28</v>
      </c>
      <c r="J19" s="12" t="s">
        <v>103</v>
      </c>
      <c r="K19" s="12">
        <v>20.0</v>
      </c>
      <c r="L19" s="15" t="s">
        <v>47</v>
      </c>
      <c r="M19" s="17"/>
      <c r="N19" s="17"/>
    </row>
    <row r="20" ht="14.25" customHeight="1">
      <c r="A20" s="19" t="s">
        <v>2833</v>
      </c>
      <c r="B20" s="21" t="s">
        <v>769</v>
      </c>
      <c r="C20" s="21" t="s">
        <v>2795</v>
      </c>
      <c r="D20" s="19" t="s">
        <v>31</v>
      </c>
      <c r="E20" s="21" t="s">
        <v>2838</v>
      </c>
      <c r="F20" s="21" t="s">
        <v>2840</v>
      </c>
      <c r="G20" s="21" t="s">
        <v>2842</v>
      </c>
      <c r="H20" s="21" t="s">
        <v>2843</v>
      </c>
      <c r="I20" s="19" t="s">
        <v>28</v>
      </c>
      <c r="J20" s="19" t="s">
        <v>75</v>
      </c>
      <c r="K20" s="19">
        <v>25.0</v>
      </c>
      <c r="L20" s="15" t="s">
        <v>47</v>
      </c>
      <c r="M20" s="17"/>
      <c r="N20" s="17"/>
    </row>
    <row r="21" ht="14.25" customHeight="1">
      <c r="A21" s="12" t="s">
        <v>2847</v>
      </c>
      <c r="B21" s="11" t="s">
        <v>769</v>
      </c>
      <c r="C21" s="11" t="s">
        <v>2795</v>
      </c>
      <c r="D21" s="12" t="s">
        <v>31</v>
      </c>
      <c r="E21" s="11" t="s">
        <v>2806</v>
      </c>
      <c r="F21" s="11" t="s">
        <v>2851</v>
      </c>
      <c r="G21" s="11" t="s">
        <v>2852</v>
      </c>
      <c r="H21" s="11" t="s">
        <v>2853</v>
      </c>
      <c r="I21" s="12" t="s">
        <v>29</v>
      </c>
      <c r="J21" s="12" t="s">
        <v>103</v>
      </c>
      <c r="K21" s="12">
        <v>15.0</v>
      </c>
      <c r="L21" s="15" t="s">
        <v>47</v>
      </c>
      <c r="M21" s="17"/>
      <c r="N21" s="17"/>
    </row>
    <row r="22" ht="14.25" customHeight="1">
      <c r="A22" s="19" t="s">
        <v>2856</v>
      </c>
      <c r="B22" s="21" t="s">
        <v>769</v>
      </c>
      <c r="C22" s="21" t="s">
        <v>2858</v>
      </c>
      <c r="D22" s="19" t="s">
        <v>31</v>
      </c>
      <c r="E22" s="21" t="s">
        <v>2733</v>
      </c>
      <c r="F22" s="21" t="s">
        <v>2862</v>
      </c>
      <c r="G22" s="21" t="s">
        <v>2863</v>
      </c>
      <c r="H22" s="21" t="s">
        <v>2864</v>
      </c>
      <c r="I22" s="19" t="s">
        <v>29</v>
      </c>
      <c r="J22" s="19" t="s">
        <v>75</v>
      </c>
      <c r="K22" s="19">
        <v>12.0</v>
      </c>
      <c r="L22" s="15" t="s">
        <v>47</v>
      </c>
      <c r="M22" s="17"/>
      <c r="N22" s="17"/>
    </row>
    <row r="23" ht="14.25" customHeight="1">
      <c r="A23" s="12" t="s">
        <v>2866</v>
      </c>
      <c r="B23" s="11" t="s">
        <v>769</v>
      </c>
      <c r="C23" s="11" t="s">
        <v>2858</v>
      </c>
      <c r="D23" s="12" t="s">
        <v>31</v>
      </c>
      <c r="E23" s="11" t="s">
        <v>2868</v>
      </c>
      <c r="F23" s="11" t="s">
        <v>2870</v>
      </c>
      <c r="G23" s="11" t="s">
        <v>2872</v>
      </c>
      <c r="H23" s="11" t="s">
        <v>2873</v>
      </c>
      <c r="I23" s="12" t="s">
        <v>29</v>
      </c>
      <c r="J23" s="12" t="s">
        <v>75</v>
      </c>
      <c r="K23" s="12">
        <v>15.0</v>
      </c>
      <c r="L23" s="15" t="s">
        <v>47</v>
      </c>
      <c r="M23" s="17"/>
      <c r="N23" s="17"/>
    </row>
    <row r="24" ht="14.25" customHeight="1">
      <c r="A24" s="19" t="s">
        <v>2875</v>
      </c>
      <c r="B24" s="21" t="s">
        <v>769</v>
      </c>
      <c r="C24" s="21" t="s">
        <v>2858</v>
      </c>
      <c r="D24" s="19" t="s">
        <v>31</v>
      </c>
      <c r="E24" s="21" t="s">
        <v>2868</v>
      </c>
      <c r="F24" s="21" t="s">
        <v>2880</v>
      </c>
      <c r="G24" s="21" t="s">
        <v>2852</v>
      </c>
      <c r="H24" s="21" t="s">
        <v>2881</v>
      </c>
      <c r="I24" s="19" t="s">
        <v>29</v>
      </c>
      <c r="J24" s="19" t="s">
        <v>103</v>
      </c>
      <c r="K24" s="19">
        <v>15.0</v>
      </c>
      <c r="L24" s="15" t="s">
        <v>47</v>
      </c>
      <c r="M24" s="17"/>
      <c r="N24" s="17"/>
    </row>
    <row r="25" ht="14.25" customHeight="1">
      <c r="A25" s="12" t="s">
        <v>2884</v>
      </c>
      <c r="B25" s="11" t="s">
        <v>769</v>
      </c>
      <c r="C25" s="11" t="s">
        <v>2858</v>
      </c>
      <c r="D25" s="12" t="s">
        <v>31</v>
      </c>
      <c r="E25" s="11" t="s">
        <v>2868</v>
      </c>
      <c r="F25" s="11" t="s">
        <v>2888</v>
      </c>
      <c r="G25" s="11" t="s">
        <v>2890</v>
      </c>
      <c r="H25" s="11" t="s">
        <v>2891</v>
      </c>
      <c r="I25" s="12" t="s">
        <v>28</v>
      </c>
      <c r="J25" s="12" t="s">
        <v>102</v>
      </c>
      <c r="K25" s="12">
        <v>20.0</v>
      </c>
      <c r="L25" s="15" t="s">
        <v>47</v>
      </c>
      <c r="M25" s="17"/>
      <c r="N25" s="17"/>
    </row>
    <row r="26" ht="14.25" customHeight="1">
      <c r="A26" s="19" t="s">
        <v>2894</v>
      </c>
      <c r="B26" s="21" t="s">
        <v>769</v>
      </c>
      <c r="C26" s="21" t="s">
        <v>2858</v>
      </c>
      <c r="D26" s="19" t="s">
        <v>31</v>
      </c>
      <c r="E26" s="21" t="s">
        <v>2868</v>
      </c>
      <c r="F26" s="21" t="s">
        <v>2899</v>
      </c>
      <c r="G26" s="21" t="s">
        <v>2900</v>
      </c>
      <c r="H26" s="21" t="s">
        <v>2901</v>
      </c>
      <c r="I26" s="19" t="s">
        <v>29</v>
      </c>
      <c r="J26" s="19" t="s">
        <v>75</v>
      </c>
      <c r="K26" s="19">
        <v>20.0</v>
      </c>
      <c r="L26" s="15" t="s">
        <v>47</v>
      </c>
      <c r="M26" s="17"/>
      <c r="N26" s="17"/>
    </row>
    <row r="27" ht="14.25" customHeight="1">
      <c r="A27" s="12" t="s">
        <v>2902</v>
      </c>
      <c r="B27" s="11" t="s">
        <v>769</v>
      </c>
      <c r="C27" s="11" t="s">
        <v>2903</v>
      </c>
      <c r="D27" s="12" t="s">
        <v>31</v>
      </c>
      <c r="E27" s="11" t="s">
        <v>2733</v>
      </c>
      <c r="F27" s="11" t="s">
        <v>2904</v>
      </c>
      <c r="G27" s="11" t="s">
        <v>2905</v>
      </c>
      <c r="H27" s="11" t="s">
        <v>2906</v>
      </c>
      <c r="I27" s="12" t="s">
        <v>29</v>
      </c>
      <c r="J27" s="12" t="s">
        <v>75</v>
      </c>
      <c r="K27" s="12">
        <v>12.0</v>
      </c>
      <c r="L27" s="15" t="s">
        <v>47</v>
      </c>
      <c r="M27" s="17"/>
      <c r="N27" s="17"/>
    </row>
    <row r="28" ht="14.25" customHeight="1">
      <c r="A28" s="19" t="s">
        <v>2907</v>
      </c>
      <c r="B28" s="21" t="s">
        <v>769</v>
      </c>
      <c r="C28" s="21" t="s">
        <v>2903</v>
      </c>
      <c r="D28" s="19" t="s">
        <v>31</v>
      </c>
      <c r="E28" s="21" t="s">
        <v>2908</v>
      </c>
      <c r="F28" s="21" t="s">
        <v>2909</v>
      </c>
      <c r="G28" s="21" t="s">
        <v>2910</v>
      </c>
      <c r="H28" s="21" t="s">
        <v>2911</v>
      </c>
      <c r="I28" s="19" t="s">
        <v>29</v>
      </c>
      <c r="J28" s="19" t="s">
        <v>75</v>
      </c>
      <c r="K28" s="19">
        <v>20.0</v>
      </c>
      <c r="L28" s="15" t="s">
        <v>47</v>
      </c>
      <c r="M28" s="17"/>
      <c r="N28" s="17"/>
    </row>
    <row r="29" ht="14.25" customHeight="1">
      <c r="A29" s="12" t="s">
        <v>2912</v>
      </c>
      <c r="B29" s="11" t="s">
        <v>769</v>
      </c>
      <c r="C29" s="11" t="s">
        <v>2903</v>
      </c>
      <c r="D29" s="12" t="s">
        <v>31</v>
      </c>
      <c r="E29" s="11" t="s">
        <v>2908</v>
      </c>
      <c r="F29" s="11" t="s">
        <v>2913</v>
      </c>
      <c r="G29" s="11" t="s">
        <v>2852</v>
      </c>
      <c r="H29" s="11" t="s">
        <v>2914</v>
      </c>
      <c r="I29" s="12" t="s">
        <v>29</v>
      </c>
      <c r="J29" s="12" t="s">
        <v>103</v>
      </c>
      <c r="K29" s="12">
        <v>18.0</v>
      </c>
      <c r="L29" s="15" t="s">
        <v>47</v>
      </c>
      <c r="M29" s="17"/>
      <c r="N29" s="17"/>
    </row>
    <row r="30" ht="14.25" customHeight="1">
      <c r="A30" s="19" t="s">
        <v>2915</v>
      </c>
      <c r="B30" s="21" t="s">
        <v>769</v>
      </c>
      <c r="C30" s="21" t="s">
        <v>2916</v>
      </c>
      <c r="D30" s="19" t="s">
        <v>31</v>
      </c>
      <c r="E30" s="21" t="s">
        <v>2733</v>
      </c>
      <c r="F30" s="21" t="s">
        <v>2917</v>
      </c>
      <c r="G30" s="21" t="s">
        <v>2918</v>
      </c>
      <c r="H30" s="21" t="s">
        <v>2919</v>
      </c>
      <c r="I30" s="19" t="s">
        <v>28</v>
      </c>
      <c r="J30" s="19" t="s">
        <v>102</v>
      </c>
      <c r="K30" s="19">
        <v>20.0</v>
      </c>
      <c r="L30" s="15" t="s">
        <v>47</v>
      </c>
      <c r="M30" s="17"/>
      <c r="N30" s="17"/>
    </row>
    <row r="31" ht="14.25" customHeight="1">
      <c r="A31" s="12" t="s">
        <v>2920</v>
      </c>
      <c r="B31" s="11" t="s">
        <v>769</v>
      </c>
      <c r="C31" s="11" t="s">
        <v>2921</v>
      </c>
      <c r="D31" s="12" t="s">
        <v>31</v>
      </c>
      <c r="E31" s="11" t="s">
        <v>2733</v>
      </c>
      <c r="F31" s="11" t="s">
        <v>2922</v>
      </c>
      <c r="G31" s="11" t="s">
        <v>2923</v>
      </c>
      <c r="H31" s="11" t="s">
        <v>2924</v>
      </c>
      <c r="I31" s="12" t="s">
        <v>29</v>
      </c>
      <c r="J31" s="12" t="s">
        <v>75</v>
      </c>
      <c r="K31" s="12">
        <v>12.0</v>
      </c>
      <c r="L31" s="15" t="s">
        <v>47</v>
      </c>
      <c r="M31" s="17"/>
      <c r="N31" s="17"/>
    </row>
    <row r="32" ht="14.25" customHeight="1">
      <c r="A32" s="19" t="s">
        <v>2925</v>
      </c>
      <c r="B32" s="21" t="s">
        <v>769</v>
      </c>
      <c r="C32" s="21" t="s">
        <v>2921</v>
      </c>
      <c r="D32" s="19" t="s">
        <v>31</v>
      </c>
      <c r="E32" s="21" t="s">
        <v>2926</v>
      </c>
      <c r="F32" s="21" t="s">
        <v>2927</v>
      </c>
      <c r="G32" s="21" t="s">
        <v>2928</v>
      </c>
      <c r="H32" s="21" t="s">
        <v>2929</v>
      </c>
      <c r="I32" s="19" t="s">
        <v>28</v>
      </c>
      <c r="J32" s="19" t="s">
        <v>75</v>
      </c>
      <c r="K32" s="19">
        <v>25.0</v>
      </c>
      <c r="L32" s="15" t="s">
        <v>47</v>
      </c>
      <c r="M32" s="17"/>
      <c r="N32" s="17"/>
    </row>
    <row r="33" ht="14.25" customHeight="1">
      <c r="A33" s="12" t="s">
        <v>2930</v>
      </c>
      <c r="B33" s="11" t="s">
        <v>769</v>
      </c>
      <c r="C33" s="11" t="s">
        <v>2921</v>
      </c>
      <c r="D33" s="12" t="s">
        <v>31</v>
      </c>
      <c r="E33" s="11" t="s">
        <v>2931</v>
      </c>
      <c r="F33" s="11" t="s">
        <v>2932</v>
      </c>
      <c r="G33" s="11" t="s">
        <v>2933</v>
      </c>
      <c r="H33" s="11" t="s">
        <v>2934</v>
      </c>
      <c r="I33" s="12" t="s">
        <v>28</v>
      </c>
      <c r="J33" s="12" t="s">
        <v>103</v>
      </c>
      <c r="K33" s="12">
        <v>30.0</v>
      </c>
      <c r="L33" s="15" t="s">
        <v>47</v>
      </c>
      <c r="M33" s="17"/>
      <c r="N33" s="17"/>
    </row>
    <row r="34" ht="14.25" customHeight="1">
      <c r="A34" s="19" t="s">
        <v>2935</v>
      </c>
      <c r="B34" s="21" t="s">
        <v>769</v>
      </c>
      <c r="C34" s="21" t="s">
        <v>2921</v>
      </c>
      <c r="D34" s="19" t="s">
        <v>31</v>
      </c>
      <c r="E34" s="21" t="s">
        <v>2936</v>
      </c>
      <c r="F34" s="21" t="s">
        <v>2937</v>
      </c>
      <c r="G34" s="21" t="s">
        <v>2938</v>
      </c>
      <c r="H34" s="21" t="s">
        <v>2939</v>
      </c>
      <c r="I34" s="19" t="s">
        <v>28</v>
      </c>
      <c r="J34" s="19" t="s">
        <v>1465</v>
      </c>
      <c r="K34" s="19">
        <v>30.0</v>
      </c>
      <c r="L34" s="15" t="s">
        <v>47</v>
      </c>
      <c r="M34" s="17"/>
      <c r="N34" s="17"/>
    </row>
    <row r="35" ht="14.25" customHeight="1">
      <c r="A35" s="12" t="s">
        <v>2940</v>
      </c>
      <c r="B35" s="11" t="s">
        <v>769</v>
      </c>
      <c r="C35" s="11" t="s">
        <v>2941</v>
      </c>
      <c r="D35" s="12" t="s">
        <v>31</v>
      </c>
      <c r="E35" s="11" t="s">
        <v>2733</v>
      </c>
      <c r="F35" s="11" t="s">
        <v>2942</v>
      </c>
      <c r="G35" s="11" t="s">
        <v>2943</v>
      </c>
      <c r="H35" s="11" t="s">
        <v>2944</v>
      </c>
      <c r="I35" s="12" t="s">
        <v>28</v>
      </c>
      <c r="J35" s="12" t="s">
        <v>102</v>
      </c>
      <c r="K35" s="12">
        <v>25.0</v>
      </c>
      <c r="L35" s="15" t="s">
        <v>47</v>
      </c>
      <c r="M35" s="17"/>
      <c r="N35" s="17"/>
    </row>
    <row r="36" ht="14.25" customHeight="1">
      <c r="A36" s="19" t="s">
        <v>2945</v>
      </c>
      <c r="B36" s="21" t="s">
        <v>769</v>
      </c>
      <c r="C36" s="21" t="s">
        <v>330</v>
      </c>
      <c r="D36" s="19" t="s">
        <v>31</v>
      </c>
      <c r="E36" s="21" t="s">
        <v>2733</v>
      </c>
      <c r="F36" s="21" t="s">
        <v>2946</v>
      </c>
      <c r="G36" s="21" t="s">
        <v>2947</v>
      </c>
      <c r="H36" s="21" t="s">
        <v>2948</v>
      </c>
      <c r="I36" s="19" t="s">
        <v>29</v>
      </c>
      <c r="J36" s="19" t="s">
        <v>75</v>
      </c>
      <c r="K36" s="19">
        <v>25.0</v>
      </c>
      <c r="L36" s="15" t="s">
        <v>47</v>
      </c>
      <c r="M36" s="17"/>
      <c r="N36" s="17"/>
    </row>
    <row r="37" ht="14.25" customHeight="1">
      <c r="A37" s="12" t="s">
        <v>2949</v>
      </c>
      <c r="B37" s="11" t="s">
        <v>769</v>
      </c>
      <c r="C37" s="11" t="s">
        <v>2950</v>
      </c>
      <c r="D37" s="12" t="s">
        <v>31</v>
      </c>
      <c r="E37" s="11" t="s">
        <v>2733</v>
      </c>
      <c r="F37" s="11" t="s">
        <v>2952</v>
      </c>
      <c r="G37" s="11" t="s">
        <v>2953</v>
      </c>
      <c r="H37" s="11" t="s">
        <v>2954</v>
      </c>
      <c r="I37" s="12" t="s">
        <v>29</v>
      </c>
      <c r="J37" s="12" t="s">
        <v>75</v>
      </c>
      <c r="K37" s="12">
        <v>25.0</v>
      </c>
      <c r="L37" s="15" t="s">
        <v>47</v>
      </c>
      <c r="M37" s="17"/>
      <c r="N37" s="17"/>
    </row>
    <row r="38" ht="14.25" customHeight="1">
      <c r="A38" s="19" t="s">
        <v>2955</v>
      </c>
      <c r="B38" s="21" t="s">
        <v>769</v>
      </c>
      <c r="C38" s="21" t="s">
        <v>2950</v>
      </c>
      <c r="D38" s="19" t="s">
        <v>183</v>
      </c>
      <c r="E38" s="21" t="s">
        <v>2956</v>
      </c>
      <c r="F38" s="21" t="s">
        <v>2957</v>
      </c>
      <c r="G38" s="21" t="s">
        <v>2958</v>
      </c>
      <c r="H38" s="21" t="s">
        <v>2959</v>
      </c>
      <c r="I38" s="19" t="s">
        <v>28</v>
      </c>
      <c r="J38" s="19" t="s">
        <v>352</v>
      </c>
      <c r="K38" s="19">
        <v>35.0</v>
      </c>
      <c r="L38" s="15" t="s">
        <v>47</v>
      </c>
      <c r="M38" s="17"/>
      <c r="N38" s="17"/>
    </row>
    <row r="39" ht="14.25" customHeight="1">
      <c r="A39" s="12" t="s">
        <v>2960</v>
      </c>
      <c r="B39" s="11" t="s">
        <v>769</v>
      </c>
      <c r="C39" s="11" t="s">
        <v>2961</v>
      </c>
      <c r="D39" s="12" t="s">
        <v>31</v>
      </c>
      <c r="E39" s="11" t="s">
        <v>2733</v>
      </c>
      <c r="F39" s="11" t="s">
        <v>2962</v>
      </c>
      <c r="G39" s="11" t="s">
        <v>2963</v>
      </c>
      <c r="H39" s="11" t="s">
        <v>2964</v>
      </c>
      <c r="I39" s="12" t="s">
        <v>28</v>
      </c>
      <c r="J39" s="12" t="s">
        <v>102</v>
      </c>
      <c r="K39" s="12">
        <v>25.0</v>
      </c>
      <c r="L39" s="15" t="s">
        <v>47</v>
      </c>
      <c r="M39" s="17"/>
      <c r="N39" s="17"/>
    </row>
    <row r="40" ht="14.25" customHeight="1">
      <c r="A40" s="19" t="s">
        <v>2965</v>
      </c>
      <c r="B40" s="21" t="s">
        <v>769</v>
      </c>
      <c r="C40" s="21" t="s">
        <v>2966</v>
      </c>
      <c r="D40" s="19" t="s">
        <v>31</v>
      </c>
      <c r="E40" s="21" t="s">
        <v>2733</v>
      </c>
      <c r="F40" s="21" t="s">
        <v>2967</v>
      </c>
      <c r="G40" s="21" t="s">
        <v>2968</v>
      </c>
      <c r="H40" s="21" t="s">
        <v>2969</v>
      </c>
      <c r="I40" s="19" t="s">
        <v>29</v>
      </c>
      <c r="J40" s="19" t="s">
        <v>75</v>
      </c>
      <c r="K40" s="19">
        <v>25.0</v>
      </c>
      <c r="L40" s="15" t="s">
        <v>47</v>
      </c>
      <c r="M40" s="17"/>
      <c r="N40" s="17"/>
    </row>
    <row r="41" ht="14.25" customHeight="1">
      <c r="A41" s="12" t="s">
        <v>2970</v>
      </c>
      <c r="B41" s="11" t="s">
        <v>769</v>
      </c>
      <c r="C41" s="11" t="s">
        <v>2971</v>
      </c>
      <c r="D41" s="12" t="s">
        <v>31</v>
      </c>
      <c r="E41" s="11" t="s">
        <v>2972</v>
      </c>
      <c r="F41" s="11" t="s">
        <v>2973</v>
      </c>
      <c r="G41" s="11" t="s">
        <v>2974</v>
      </c>
      <c r="H41" s="11" t="s">
        <v>2975</v>
      </c>
      <c r="I41" s="12" t="s">
        <v>28</v>
      </c>
      <c r="J41" s="12" t="s">
        <v>102</v>
      </c>
      <c r="K41" s="12">
        <v>30.0</v>
      </c>
      <c r="L41" s="15" t="s">
        <v>47</v>
      </c>
      <c r="M41" s="17"/>
      <c r="N41" s="17"/>
    </row>
    <row r="42" ht="14.25" customHeight="1">
      <c r="A42" s="19" t="s">
        <v>2977</v>
      </c>
      <c r="B42" s="21" t="s">
        <v>769</v>
      </c>
      <c r="C42" s="21" t="s">
        <v>1767</v>
      </c>
      <c r="D42" s="19" t="s">
        <v>31</v>
      </c>
      <c r="E42" s="21" t="s">
        <v>2980</v>
      </c>
      <c r="F42" s="21" t="s">
        <v>2982</v>
      </c>
      <c r="G42" s="21" t="s">
        <v>2984</v>
      </c>
      <c r="H42" s="21" t="s">
        <v>2986</v>
      </c>
      <c r="I42" s="19" t="s">
        <v>28</v>
      </c>
      <c r="J42" s="19" t="s">
        <v>114</v>
      </c>
      <c r="K42" s="19">
        <v>30.0</v>
      </c>
      <c r="L42" s="15" t="s">
        <v>47</v>
      </c>
      <c r="M42" s="17"/>
      <c r="N42" s="17"/>
    </row>
    <row r="43" ht="14.25" customHeight="1"/>
    <row r="44" ht="14.25" customHeight="1">
      <c r="J44" s="3" t="s">
        <v>789</v>
      </c>
      <c r="K44" s="27">
        <f>SUM(K3:K42)</f>
        <v>840</v>
      </c>
    </row>
    <row r="45" ht="14.25" customHeight="1">
      <c r="J45" s="3" t="s">
        <v>808</v>
      </c>
      <c r="K45" s="28">
        <f>K44/60</f>
        <v>14</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42"/>
  <mergeCells count="1">
    <mergeCell ref="A1:N1"/>
  </mergeCells>
  <conditionalFormatting sqref="L3:L42">
    <cfRule type="cellIs" dxfId="0" priority="1" operator="equal">
      <formula>"Pass"</formula>
    </cfRule>
  </conditionalFormatting>
  <conditionalFormatting sqref="L3:L42">
    <cfRule type="cellIs" dxfId="1" priority="2" operator="equal">
      <formula>"Fail"</formula>
    </cfRule>
  </conditionalFormatting>
  <conditionalFormatting sqref="L3:L42">
    <cfRule type="cellIs" dxfId="2" priority="3" operator="equal">
      <formula>"Blocked"</formula>
    </cfRule>
  </conditionalFormatting>
  <dataValidations>
    <dataValidation type="list" allowBlank="1" sqref="L3:L42">
      <formula1>"Not Run,Pass,Fail,Blocked,N-A"</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2951</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2976</v>
      </c>
      <c r="B3" s="11" t="s">
        <v>828</v>
      </c>
      <c r="C3" s="11" t="s">
        <v>2978</v>
      </c>
      <c r="D3" s="12" t="s">
        <v>31</v>
      </c>
      <c r="E3" s="11" t="s">
        <v>2979</v>
      </c>
      <c r="F3" s="11" t="s">
        <v>2981</v>
      </c>
      <c r="G3" s="11" t="s">
        <v>2983</v>
      </c>
      <c r="H3" s="11" t="s">
        <v>2985</v>
      </c>
      <c r="I3" s="12" t="s">
        <v>29</v>
      </c>
      <c r="J3" s="12" t="s">
        <v>75</v>
      </c>
      <c r="K3" s="12">
        <v>12.0</v>
      </c>
      <c r="L3" s="15" t="s">
        <v>47</v>
      </c>
      <c r="M3" s="17"/>
      <c r="N3" s="17"/>
    </row>
    <row r="4" ht="14.25" customHeight="1">
      <c r="A4" s="19" t="s">
        <v>2987</v>
      </c>
      <c r="B4" s="21" t="s">
        <v>828</v>
      </c>
      <c r="C4" s="21" t="s">
        <v>2978</v>
      </c>
      <c r="D4" s="19" t="s">
        <v>31</v>
      </c>
      <c r="E4" s="21" t="s">
        <v>2988</v>
      </c>
      <c r="F4" s="21" t="s">
        <v>2989</v>
      </c>
      <c r="G4" s="21" t="s">
        <v>2990</v>
      </c>
      <c r="H4" s="21" t="s">
        <v>2991</v>
      </c>
      <c r="I4" s="19" t="s">
        <v>29</v>
      </c>
      <c r="J4" s="19" t="s">
        <v>75</v>
      </c>
      <c r="K4" s="19">
        <v>20.0</v>
      </c>
      <c r="L4" s="15" t="s">
        <v>47</v>
      </c>
      <c r="M4" s="17"/>
      <c r="N4" s="17"/>
    </row>
    <row r="5" ht="14.25" customHeight="1">
      <c r="A5" s="12" t="s">
        <v>2992</v>
      </c>
      <c r="B5" s="11" t="s">
        <v>828</v>
      </c>
      <c r="C5" s="11" t="s">
        <v>2993</v>
      </c>
      <c r="D5" s="12" t="s">
        <v>31</v>
      </c>
      <c r="E5" s="11" t="s">
        <v>2994</v>
      </c>
      <c r="F5" s="11" t="s">
        <v>2995</v>
      </c>
      <c r="G5" s="11" t="s">
        <v>2996</v>
      </c>
      <c r="H5" s="11" t="s">
        <v>2997</v>
      </c>
      <c r="I5" s="12" t="s">
        <v>28</v>
      </c>
      <c r="J5" s="12" t="s">
        <v>75</v>
      </c>
      <c r="K5" s="12">
        <v>18.0</v>
      </c>
      <c r="L5" s="15" t="s">
        <v>47</v>
      </c>
      <c r="M5" s="17"/>
      <c r="N5" s="17"/>
    </row>
    <row r="6" ht="14.25" customHeight="1">
      <c r="A6" s="19" t="s">
        <v>2998</v>
      </c>
      <c r="B6" s="21" t="s">
        <v>828</v>
      </c>
      <c r="C6" s="21" t="s">
        <v>2993</v>
      </c>
      <c r="D6" s="19" t="s">
        <v>31</v>
      </c>
      <c r="E6" s="21" t="s">
        <v>2999</v>
      </c>
      <c r="F6" s="21" t="s">
        <v>3000</v>
      </c>
      <c r="G6" s="21" t="s">
        <v>3001</v>
      </c>
      <c r="H6" s="21" t="s">
        <v>3002</v>
      </c>
      <c r="I6" s="19" t="s">
        <v>29</v>
      </c>
      <c r="J6" s="19" t="s">
        <v>197</v>
      </c>
      <c r="K6" s="19">
        <v>15.0</v>
      </c>
      <c r="L6" s="15" t="s">
        <v>47</v>
      </c>
      <c r="M6" s="17"/>
      <c r="N6" s="17"/>
    </row>
    <row r="7" ht="14.25" customHeight="1">
      <c r="A7" s="12" t="s">
        <v>3003</v>
      </c>
      <c r="B7" s="11" t="s">
        <v>828</v>
      </c>
      <c r="C7" s="11" t="s">
        <v>2993</v>
      </c>
      <c r="D7" s="12" t="s">
        <v>31</v>
      </c>
      <c r="E7" s="11" t="s">
        <v>2999</v>
      </c>
      <c r="F7" s="11" t="s">
        <v>3004</v>
      </c>
      <c r="G7" s="11" t="s">
        <v>3005</v>
      </c>
      <c r="H7" s="11" t="s">
        <v>3006</v>
      </c>
      <c r="I7" s="12" t="s">
        <v>28</v>
      </c>
      <c r="J7" s="12" t="s">
        <v>75</v>
      </c>
      <c r="K7" s="12">
        <v>20.0</v>
      </c>
      <c r="L7" s="15" t="s">
        <v>47</v>
      </c>
      <c r="M7" s="17"/>
      <c r="N7" s="17"/>
    </row>
    <row r="8" ht="14.25" customHeight="1">
      <c r="A8" s="19" t="s">
        <v>3007</v>
      </c>
      <c r="B8" s="21" t="s">
        <v>828</v>
      </c>
      <c r="C8" s="21" t="s">
        <v>2993</v>
      </c>
      <c r="D8" s="19" t="s">
        <v>31</v>
      </c>
      <c r="E8" s="21" t="s">
        <v>2999</v>
      </c>
      <c r="F8" s="21" t="s">
        <v>3008</v>
      </c>
      <c r="G8" s="21" t="s">
        <v>3009</v>
      </c>
      <c r="H8" s="21" t="s">
        <v>3010</v>
      </c>
      <c r="I8" s="19" t="s">
        <v>28</v>
      </c>
      <c r="J8" s="19" t="s">
        <v>103</v>
      </c>
      <c r="K8" s="19">
        <v>25.0</v>
      </c>
      <c r="L8" s="15" t="s">
        <v>47</v>
      </c>
      <c r="M8" s="17"/>
      <c r="N8" s="17"/>
    </row>
    <row r="9" ht="14.25" customHeight="1">
      <c r="A9" s="12" t="s">
        <v>3011</v>
      </c>
      <c r="B9" s="11" t="s">
        <v>828</v>
      </c>
      <c r="C9" s="11" t="s">
        <v>3012</v>
      </c>
      <c r="D9" s="12" t="s">
        <v>31</v>
      </c>
      <c r="E9" s="11" t="s">
        <v>3013</v>
      </c>
      <c r="F9" s="11" t="s">
        <v>3014</v>
      </c>
      <c r="G9" s="11" t="s">
        <v>3015</v>
      </c>
      <c r="H9" s="11" t="s">
        <v>3016</v>
      </c>
      <c r="I9" s="12" t="s">
        <v>28</v>
      </c>
      <c r="J9" s="12" t="s">
        <v>75</v>
      </c>
      <c r="K9" s="12">
        <v>18.0</v>
      </c>
      <c r="L9" s="15" t="s">
        <v>47</v>
      </c>
      <c r="M9" s="17"/>
      <c r="N9" s="17"/>
    </row>
    <row r="10" ht="14.25" customHeight="1">
      <c r="A10" s="19" t="s">
        <v>3017</v>
      </c>
      <c r="B10" s="21" t="s">
        <v>828</v>
      </c>
      <c r="C10" s="21" t="s">
        <v>3012</v>
      </c>
      <c r="D10" s="19" t="s">
        <v>31</v>
      </c>
      <c r="E10" s="21" t="s">
        <v>3018</v>
      </c>
      <c r="F10" s="21" t="s">
        <v>3019</v>
      </c>
      <c r="G10" s="21" t="s">
        <v>3020</v>
      </c>
      <c r="H10" s="21" t="s">
        <v>3021</v>
      </c>
      <c r="I10" s="19" t="s">
        <v>28</v>
      </c>
      <c r="J10" s="19" t="s">
        <v>114</v>
      </c>
      <c r="K10" s="19">
        <v>30.0</v>
      </c>
      <c r="L10" s="15" t="s">
        <v>47</v>
      </c>
      <c r="M10" s="17"/>
      <c r="N10" s="17"/>
    </row>
    <row r="11" ht="14.25" customHeight="1">
      <c r="A11" s="12" t="s">
        <v>3022</v>
      </c>
      <c r="B11" s="11" t="s">
        <v>828</v>
      </c>
      <c r="C11" s="11" t="s">
        <v>3012</v>
      </c>
      <c r="D11" s="12" t="s">
        <v>31</v>
      </c>
      <c r="E11" s="11" t="s">
        <v>3023</v>
      </c>
      <c r="F11" s="11" t="s">
        <v>3024</v>
      </c>
      <c r="G11" s="11" t="s">
        <v>3025</v>
      </c>
      <c r="H11" s="11" t="s">
        <v>3026</v>
      </c>
      <c r="I11" s="12" t="s">
        <v>28</v>
      </c>
      <c r="J11" s="12" t="s">
        <v>114</v>
      </c>
      <c r="K11" s="12">
        <v>30.0</v>
      </c>
      <c r="L11" s="15" t="s">
        <v>47</v>
      </c>
      <c r="M11" s="17"/>
      <c r="N11" s="17"/>
    </row>
    <row r="12" ht="14.25" customHeight="1">
      <c r="A12" s="19" t="s">
        <v>3027</v>
      </c>
      <c r="B12" s="21" t="s">
        <v>828</v>
      </c>
      <c r="C12" s="21" t="s">
        <v>3028</v>
      </c>
      <c r="D12" s="19" t="s">
        <v>31</v>
      </c>
      <c r="E12" s="21" t="s">
        <v>3029</v>
      </c>
      <c r="F12" s="21" t="s">
        <v>3030</v>
      </c>
      <c r="G12" s="21" t="s">
        <v>3031</v>
      </c>
      <c r="H12" s="21" t="s">
        <v>3032</v>
      </c>
      <c r="I12" s="19" t="s">
        <v>28</v>
      </c>
      <c r="J12" s="19" t="s">
        <v>114</v>
      </c>
      <c r="K12" s="19">
        <v>30.0</v>
      </c>
      <c r="L12" s="15" t="s">
        <v>47</v>
      </c>
      <c r="M12" s="17"/>
      <c r="N12" s="17"/>
    </row>
    <row r="13" ht="14.25" customHeight="1">
      <c r="A13" s="12" t="s">
        <v>3033</v>
      </c>
      <c r="B13" s="11" t="s">
        <v>828</v>
      </c>
      <c r="C13" s="11" t="s">
        <v>3028</v>
      </c>
      <c r="D13" s="12" t="s">
        <v>31</v>
      </c>
      <c r="E13" s="11" t="s">
        <v>3034</v>
      </c>
      <c r="F13" s="11" t="s">
        <v>3035</v>
      </c>
      <c r="G13" s="11" t="s">
        <v>3036</v>
      </c>
      <c r="H13" s="11" t="s">
        <v>3037</v>
      </c>
      <c r="I13" s="12" t="s">
        <v>28</v>
      </c>
      <c r="J13" s="12" t="s">
        <v>114</v>
      </c>
      <c r="K13" s="12">
        <v>30.0</v>
      </c>
      <c r="L13" s="15" t="s">
        <v>47</v>
      </c>
      <c r="M13" s="17"/>
      <c r="N13" s="17"/>
    </row>
    <row r="14" ht="14.25" customHeight="1">
      <c r="A14" s="19" t="s">
        <v>3038</v>
      </c>
      <c r="B14" s="21" t="s">
        <v>828</v>
      </c>
      <c r="C14" s="21" t="s">
        <v>3028</v>
      </c>
      <c r="D14" s="19" t="s">
        <v>183</v>
      </c>
      <c r="E14" s="21" t="s">
        <v>3039</v>
      </c>
      <c r="F14" s="21" t="s">
        <v>3040</v>
      </c>
      <c r="G14" s="21" t="s">
        <v>3041</v>
      </c>
      <c r="H14" s="21" t="s">
        <v>3042</v>
      </c>
      <c r="I14" s="19" t="s">
        <v>28</v>
      </c>
      <c r="J14" s="19" t="s">
        <v>352</v>
      </c>
      <c r="K14" s="19">
        <v>35.0</v>
      </c>
      <c r="L14" s="15" t="s">
        <v>47</v>
      </c>
      <c r="M14" s="17"/>
      <c r="N14" s="17"/>
    </row>
    <row r="15" ht="14.25" customHeight="1">
      <c r="A15" s="12" t="s">
        <v>3043</v>
      </c>
      <c r="B15" s="11" t="s">
        <v>828</v>
      </c>
      <c r="C15" s="11" t="s">
        <v>3028</v>
      </c>
      <c r="D15" s="12" t="s">
        <v>31</v>
      </c>
      <c r="E15" s="11" t="s">
        <v>2980</v>
      </c>
      <c r="F15" s="11" t="s">
        <v>3044</v>
      </c>
      <c r="G15" s="11" t="s">
        <v>3045</v>
      </c>
      <c r="H15" s="11" t="s">
        <v>3046</v>
      </c>
      <c r="I15" s="12" t="s">
        <v>28</v>
      </c>
      <c r="J15" s="12" t="s">
        <v>114</v>
      </c>
      <c r="K15" s="12">
        <v>25.0</v>
      </c>
      <c r="L15" s="15" t="s">
        <v>47</v>
      </c>
      <c r="M15" s="17"/>
      <c r="N15" s="17"/>
    </row>
    <row r="16" ht="14.25" customHeight="1">
      <c r="A16" s="19" t="s">
        <v>3047</v>
      </c>
      <c r="B16" s="21" t="s">
        <v>828</v>
      </c>
      <c r="C16" s="21" t="s">
        <v>3048</v>
      </c>
      <c r="D16" s="19" t="s">
        <v>31</v>
      </c>
      <c r="E16" s="21" t="s">
        <v>2999</v>
      </c>
      <c r="F16" s="21" t="s">
        <v>3049</v>
      </c>
      <c r="G16" s="21" t="s">
        <v>3050</v>
      </c>
      <c r="H16" s="21" t="s">
        <v>3051</v>
      </c>
      <c r="I16" s="19" t="s">
        <v>28</v>
      </c>
      <c r="J16" s="19" t="s">
        <v>75</v>
      </c>
      <c r="K16" s="19">
        <v>20.0</v>
      </c>
      <c r="L16" s="15" t="s">
        <v>47</v>
      </c>
      <c r="M16" s="17"/>
      <c r="N16" s="17"/>
    </row>
    <row r="17" ht="14.25" customHeight="1">
      <c r="A17" s="12" t="s">
        <v>3052</v>
      </c>
      <c r="B17" s="11" t="s">
        <v>828</v>
      </c>
      <c r="C17" s="11" t="s">
        <v>3048</v>
      </c>
      <c r="D17" s="12" t="s">
        <v>31</v>
      </c>
      <c r="E17" s="11" t="s">
        <v>3053</v>
      </c>
      <c r="F17" s="11" t="s">
        <v>3054</v>
      </c>
      <c r="G17" s="11" t="s">
        <v>3055</v>
      </c>
      <c r="H17" s="11" t="s">
        <v>3056</v>
      </c>
      <c r="I17" s="12" t="s">
        <v>29</v>
      </c>
      <c r="J17" s="12" t="s">
        <v>75</v>
      </c>
      <c r="K17" s="12">
        <v>20.0</v>
      </c>
      <c r="L17" s="15" t="s">
        <v>47</v>
      </c>
      <c r="M17" s="17"/>
      <c r="N17" s="17"/>
    </row>
    <row r="18" ht="14.25" customHeight="1">
      <c r="A18" s="19" t="s">
        <v>3057</v>
      </c>
      <c r="B18" s="21" t="s">
        <v>828</v>
      </c>
      <c r="C18" s="21" t="s">
        <v>3058</v>
      </c>
      <c r="D18" s="19" t="s">
        <v>31</v>
      </c>
      <c r="E18" s="21" t="s">
        <v>2999</v>
      </c>
      <c r="F18" s="21" t="s">
        <v>3059</v>
      </c>
      <c r="G18" s="21" t="s">
        <v>3060</v>
      </c>
      <c r="H18" s="21" t="s">
        <v>3061</v>
      </c>
      <c r="I18" s="19" t="s">
        <v>28</v>
      </c>
      <c r="J18" s="19" t="s">
        <v>75</v>
      </c>
      <c r="K18" s="19">
        <v>25.0</v>
      </c>
      <c r="L18" s="15" t="s">
        <v>47</v>
      </c>
      <c r="M18" s="17"/>
      <c r="N18" s="17"/>
    </row>
    <row r="19" ht="14.25" customHeight="1">
      <c r="A19" s="12" t="s">
        <v>3062</v>
      </c>
      <c r="B19" s="11" t="s">
        <v>828</v>
      </c>
      <c r="C19" s="11" t="s">
        <v>3063</v>
      </c>
      <c r="D19" s="12" t="s">
        <v>31</v>
      </c>
      <c r="E19" s="11" t="s">
        <v>2999</v>
      </c>
      <c r="F19" s="11" t="s">
        <v>3064</v>
      </c>
      <c r="G19" s="11" t="s">
        <v>3065</v>
      </c>
      <c r="H19" s="11" t="s">
        <v>3066</v>
      </c>
      <c r="I19" s="12" t="s">
        <v>29</v>
      </c>
      <c r="J19" s="12" t="s">
        <v>75</v>
      </c>
      <c r="K19" s="12">
        <v>18.0</v>
      </c>
      <c r="L19" s="15" t="s">
        <v>47</v>
      </c>
      <c r="M19" s="17"/>
      <c r="N19" s="17"/>
    </row>
    <row r="20" ht="14.25" customHeight="1">
      <c r="A20" s="19" t="s">
        <v>3067</v>
      </c>
      <c r="B20" s="21" t="s">
        <v>828</v>
      </c>
      <c r="C20" s="21" t="s">
        <v>3068</v>
      </c>
      <c r="D20" s="19" t="s">
        <v>31</v>
      </c>
      <c r="E20" s="21" t="s">
        <v>2999</v>
      </c>
      <c r="F20" s="21" t="s">
        <v>3069</v>
      </c>
      <c r="G20" s="21" t="s">
        <v>3070</v>
      </c>
      <c r="H20" s="21" t="s">
        <v>3071</v>
      </c>
      <c r="I20" s="19" t="s">
        <v>28</v>
      </c>
      <c r="J20" s="19" t="s">
        <v>75</v>
      </c>
      <c r="K20" s="19">
        <v>25.0</v>
      </c>
      <c r="L20" s="15" t="s">
        <v>47</v>
      </c>
      <c r="M20" s="17"/>
      <c r="N20" s="17"/>
    </row>
    <row r="21" ht="14.25" customHeight="1">
      <c r="A21" s="12" t="s">
        <v>3072</v>
      </c>
      <c r="B21" s="11" t="s">
        <v>828</v>
      </c>
      <c r="C21" s="11" t="s">
        <v>3068</v>
      </c>
      <c r="D21" s="12" t="s">
        <v>31</v>
      </c>
      <c r="E21" s="11" t="s">
        <v>2999</v>
      </c>
      <c r="F21" s="11" t="s">
        <v>3073</v>
      </c>
      <c r="G21" s="11" t="s">
        <v>3074</v>
      </c>
      <c r="H21" s="11" t="s">
        <v>3075</v>
      </c>
      <c r="I21" s="12" t="s">
        <v>28</v>
      </c>
      <c r="J21" s="12" t="s">
        <v>103</v>
      </c>
      <c r="K21" s="12">
        <v>18.0</v>
      </c>
      <c r="L21" s="15" t="s">
        <v>47</v>
      </c>
      <c r="M21" s="17"/>
      <c r="N21" s="17"/>
    </row>
    <row r="22" ht="14.25" customHeight="1">
      <c r="A22" s="19" t="s">
        <v>3076</v>
      </c>
      <c r="B22" s="21" t="s">
        <v>828</v>
      </c>
      <c r="C22" s="21" t="s">
        <v>3077</v>
      </c>
      <c r="D22" s="19" t="s">
        <v>31</v>
      </c>
      <c r="E22" s="21" t="s">
        <v>2999</v>
      </c>
      <c r="F22" s="21" t="s">
        <v>3078</v>
      </c>
      <c r="G22" s="21" t="s">
        <v>3079</v>
      </c>
      <c r="H22" s="21" t="s">
        <v>3080</v>
      </c>
      <c r="I22" s="19" t="s">
        <v>28</v>
      </c>
      <c r="J22" s="19" t="s">
        <v>114</v>
      </c>
      <c r="K22" s="19">
        <v>35.0</v>
      </c>
      <c r="L22" s="15" t="s">
        <v>47</v>
      </c>
      <c r="M22" s="17"/>
      <c r="N22" s="17"/>
    </row>
    <row r="23" ht="14.25" customHeight="1">
      <c r="A23" s="12" t="s">
        <v>3081</v>
      </c>
      <c r="B23" s="11" t="s">
        <v>828</v>
      </c>
      <c r="C23" s="11" t="s">
        <v>3082</v>
      </c>
      <c r="D23" s="12" t="s">
        <v>31</v>
      </c>
      <c r="E23" s="11" t="s">
        <v>3083</v>
      </c>
      <c r="F23" s="11" t="s">
        <v>3084</v>
      </c>
      <c r="G23" s="11" t="s">
        <v>3085</v>
      </c>
      <c r="H23" s="11" t="s">
        <v>3086</v>
      </c>
      <c r="I23" s="12" t="s">
        <v>29</v>
      </c>
      <c r="J23" s="12" t="s">
        <v>75</v>
      </c>
      <c r="K23" s="12">
        <v>12.0</v>
      </c>
      <c r="L23" s="15" t="s">
        <v>47</v>
      </c>
      <c r="M23" s="17"/>
      <c r="N23" s="17"/>
    </row>
    <row r="24" ht="14.25" customHeight="1">
      <c r="A24" s="19" t="s">
        <v>3087</v>
      </c>
      <c r="B24" s="21" t="s">
        <v>828</v>
      </c>
      <c r="C24" s="21" t="s">
        <v>3082</v>
      </c>
      <c r="D24" s="19" t="s">
        <v>31</v>
      </c>
      <c r="E24" s="21" t="s">
        <v>3083</v>
      </c>
      <c r="F24" s="21" t="s">
        <v>3088</v>
      </c>
      <c r="G24" s="21" t="s">
        <v>3089</v>
      </c>
      <c r="H24" s="21" t="s">
        <v>3090</v>
      </c>
      <c r="I24" s="19" t="s">
        <v>29</v>
      </c>
      <c r="J24" s="19" t="s">
        <v>75</v>
      </c>
      <c r="K24" s="19">
        <v>20.0</v>
      </c>
      <c r="L24" s="15" t="s">
        <v>47</v>
      </c>
      <c r="M24" s="17"/>
      <c r="N24" s="17"/>
    </row>
    <row r="25" ht="14.25" customHeight="1">
      <c r="A25" s="12" t="s">
        <v>3091</v>
      </c>
      <c r="B25" s="11" t="s">
        <v>828</v>
      </c>
      <c r="C25" s="11" t="s">
        <v>3092</v>
      </c>
      <c r="D25" s="12" t="s">
        <v>31</v>
      </c>
      <c r="E25" s="11" t="s">
        <v>3083</v>
      </c>
      <c r="F25" s="11" t="s">
        <v>3093</v>
      </c>
      <c r="G25" s="11" t="s">
        <v>3094</v>
      </c>
      <c r="H25" s="11" t="s">
        <v>3095</v>
      </c>
      <c r="I25" s="12" t="s">
        <v>28</v>
      </c>
      <c r="J25" s="12" t="s">
        <v>103</v>
      </c>
      <c r="K25" s="12">
        <v>18.0</v>
      </c>
      <c r="L25" s="15" t="s">
        <v>47</v>
      </c>
      <c r="M25" s="17"/>
      <c r="N25" s="17"/>
    </row>
    <row r="26" ht="14.25" customHeight="1">
      <c r="A26" s="19" t="s">
        <v>3096</v>
      </c>
      <c r="B26" s="21" t="s">
        <v>828</v>
      </c>
      <c r="C26" s="21" t="s">
        <v>3092</v>
      </c>
      <c r="D26" s="19" t="s">
        <v>31</v>
      </c>
      <c r="E26" s="21" t="s">
        <v>3097</v>
      </c>
      <c r="F26" s="21" t="s">
        <v>3098</v>
      </c>
      <c r="G26" s="21" t="s">
        <v>3099</v>
      </c>
      <c r="H26" s="21" t="s">
        <v>3100</v>
      </c>
      <c r="I26" s="19" t="s">
        <v>28</v>
      </c>
      <c r="J26" s="19" t="s">
        <v>75</v>
      </c>
      <c r="K26" s="19">
        <v>20.0</v>
      </c>
      <c r="L26" s="15" t="s">
        <v>47</v>
      </c>
      <c r="M26" s="17"/>
      <c r="N26" s="17"/>
    </row>
    <row r="27" ht="14.25" customHeight="1">
      <c r="A27" s="12" t="s">
        <v>3101</v>
      </c>
      <c r="B27" s="11" t="s">
        <v>828</v>
      </c>
      <c r="C27" s="11" t="s">
        <v>3092</v>
      </c>
      <c r="D27" s="12" t="s">
        <v>31</v>
      </c>
      <c r="E27" s="11" t="s">
        <v>3097</v>
      </c>
      <c r="F27" s="11" t="s">
        <v>3102</v>
      </c>
      <c r="G27" s="11" t="s">
        <v>3103</v>
      </c>
      <c r="H27" s="11" t="s">
        <v>3104</v>
      </c>
      <c r="I27" s="12" t="s">
        <v>29</v>
      </c>
      <c r="J27" s="12" t="s">
        <v>103</v>
      </c>
      <c r="K27" s="12">
        <v>15.0</v>
      </c>
      <c r="L27" s="15" t="s">
        <v>47</v>
      </c>
      <c r="M27" s="17"/>
      <c r="N27" s="17"/>
    </row>
    <row r="28" ht="14.25" customHeight="1">
      <c r="A28" s="19" t="s">
        <v>3105</v>
      </c>
      <c r="B28" s="21" t="s">
        <v>828</v>
      </c>
      <c r="C28" s="21" t="s">
        <v>3106</v>
      </c>
      <c r="D28" s="19" t="s">
        <v>31</v>
      </c>
      <c r="E28" s="21" t="s">
        <v>3107</v>
      </c>
      <c r="F28" s="21" t="s">
        <v>3108</v>
      </c>
      <c r="G28" s="21" t="s">
        <v>3109</v>
      </c>
      <c r="H28" s="21" t="s">
        <v>3110</v>
      </c>
      <c r="I28" s="19" t="s">
        <v>28</v>
      </c>
      <c r="J28" s="19" t="s">
        <v>75</v>
      </c>
      <c r="K28" s="19">
        <v>30.0</v>
      </c>
      <c r="L28" s="15" t="s">
        <v>47</v>
      </c>
      <c r="M28" s="17"/>
      <c r="N28" s="17"/>
    </row>
    <row r="29" ht="14.25" customHeight="1">
      <c r="A29" s="12" t="s">
        <v>3111</v>
      </c>
      <c r="B29" s="11" t="s">
        <v>828</v>
      </c>
      <c r="C29" s="11" t="s">
        <v>3106</v>
      </c>
      <c r="D29" s="12" t="s">
        <v>31</v>
      </c>
      <c r="E29" s="11" t="s">
        <v>3112</v>
      </c>
      <c r="F29" s="11" t="s">
        <v>3113</v>
      </c>
      <c r="G29" s="11" t="s">
        <v>3114</v>
      </c>
      <c r="H29" s="11" t="s">
        <v>3115</v>
      </c>
      <c r="I29" s="12" t="s">
        <v>28</v>
      </c>
      <c r="J29" s="12" t="s">
        <v>114</v>
      </c>
      <c r="K29" s="12">
        <v>45.0</v>
      </c>
      <c r="L29" s="15" t="s">
        <v>47</v>
      </c>
      <c r="M29" s="17"/>
      <c r="N29" s="17"/>
    </row>
    <row r="30" ht="14.25" customHeight="1">
      <c r="A30" s="19" t="s">
        <v>3116</v>
      </c>
      <c r="B30" s="21" t="s">
        <v>828</v>
      </c>
      <c r="C30" s="21" t="s">
        <v>3106</v>
      </c>
      <c r="D30" s="19" t="s">
        <v>31</v>
      </c>
      <c r="E30" s="21" t="s">
        <v>3117</v>
      </c>
      <c r="F30" s="21" t="s">
        <v>3118</v>
      </c>
      <c r="G30" s="21" t="s">
        <v>3119</v>
      </c>
      <c r="H30" s="21" t="s">
        <v>3120</v>
      </c>
      <c r="I30" s="19" t="s">
        <v>28</v>
      </c>
      <c r="J30" s="19" t="s">
        <v>103</v>
      </c>
      <c r="K30" s="19">
        <v>20.0</v>
      </c>
      <c r="L30" s="15" t="s">
        <v>47</v>
      </c>
      <c r="M30" s="17"/>
      <c r="N30" s="17"/>
    </row>
    <row r="31" ht="14.25" customHeight="1">
      <c r="A31" s="12" t="s">
        <v>3121</v>
      </c>
      <c r="B31" s="11" t="s">
        <v>828</v>
      </c>
      <c r="C31" s="11" t="s">
        <v>3122</v>
      </c>
      <c r="D31" s="12" t="s">
        <v>31</v>
      </c>
      <c r="E31" s="11" t="s">
        <v>3107</v>
      </c>
      <c r="F31" s="11" t="s">
        <v>3123</v>
      </c>
      <c r="G31" s="11" t="s">
        <v>3124</v>
      </c>
      <c r="H31" s="11" t="s">
        <v>3125</v>
      </c>
      <c r="I31" s="12" t="s">
        <v>28</v>
      </c>
      <c r="J31" s="12" t="s">
        <v>75</v>
      </c>
      <c r="K31" s="12">
        <v>25.0</v>
      </c>
      <c r="L31" s="15" t="s">
        <v>47</v>
      </c>
      <c r="M31" s="17"/>
      <c r="N31" s="17"/>
    </row>
    <row r="32" ht="14.25" customHeight="1">
      <c r="A32" s="19" t="s">
        <v>3126</v>
      </c>
      <c r="B32" s="21" t="s">
        <v>828</v>
      </c>
      <c r="C32" s="21" t="s">
        <v>3127</v>
      </c>
      <c r="D32" s="19" t="s">
        <v>183</v>
      </c>
      <c r="E32" s="21" t="s">
        <v>3128</v>
      </c>
      <c r="F32" s="21" t="s">
        <v>3129</v>
      </c>
      <c r="G32" s="21" t="s">
        <v>3130</v>
      </c>
      <c r="H32" s="21" t="s">
        <v>3131</v>
      </c>
      <c r="I32" s="19" t="s">
        <v>28</v>
      </c>
      <c r="J32" s="19" t="s">
        <v>114</v>
      </c>
      <c r="K32" s="19">
        <v>45.0</v>
      </c>
      <c r="L32" s="15" t="s">
        <v>47</v>
      </c>
      <c r="M32" s="17"/>
      <c r="N32" s="17"/>
    </row>
    <row r="33" ht="14.25" customHeight="1">
      <c r="A33" s="12" t="s">
        <v>3132</v>
      </c>
      <c r="B33" s="11" t="s">
        <v>828</v>
      </c>
      <c r="C33" s="11" t="s">
        <v>3133</v>
      </c>
      <c r="D33" s="12" t="s">
        <v>31</v>
      </c>
      <c r="E33" s="11" t="s">
        <v>3107</v>
      </c>
      <c r="F33" s="11" t="s">
        <v>3134</v>
      </c>
      <c r="G33" s="11" t="s">
        <v>3135</v>
      </c>
      <c r="H33" s="11" t="s">
        <v>3136</v>
      </c>
      <c r="I33" s="12" t="s">
        <v>30</v>
      </c>
      <c r="J33" s="12" t="s">
        <v>75</v>
      </c>
      <c r="K33" s="12">
        <v>15.0</v>
      </c>
      <c r="L33" s="15" t="s">
        <v>47</v>
      </c>
      <c r="M33" s="17"/>
      <c r="N33" s="17"/>
    </row>
    <row r="34" ht="14.25" customHeight="1">
      <c r="A34" s="19" t="s">
        <v>3137</v>
      </c>
      <c r="B34" s="21" t="s">
        <v>828</v>
      </c>
      <c r="C34" s="21" t="s">
        <v>3138</v>
      </c>
      <c r="D34" s="19" t="s">
        <v>31</v>
      </c>
      <c r="E34" s="21" t="s">
        <v>3139</v>
      </c>
      <c r="F34" s="21" t="s">
        <v>3140</v>
      </c>
      <c r="G34" s="21" t="s">
        <v>3141</v>
      </c>
      <c r="H34" s="21" t="s">
        <v>3142</v>
      </c>
      <c r="I34" s="19" t="s">
        <v>28</v>
      </c>
      <c r="J34" s="19" t="s">
        <v>103</v>
      </c>
      <c r="K34" s="19">
        <v>20.0</v>
      </c>
      <c r="L34" s="15" t="s">
        <v>47</v>
      </c>
      <c r="M34" s="17"/>
      <c r="N34" s="17"/>
    </row>
    <row r="35" ht="14.25" customHeight="1">
      <c r="A35" s="12" t="s">
        <v>3143</v>
      </c>
      <c r="B35" s="11" t="s">
        <v>828</v>
      </c>
      <c r="C35" s="11" t="s">
        <v>3144</v>
      </c>
      <c r="D35" s="12" t="s">
        <v>31</v>
      </c>
      <c r="E35" s="11" t="s">
        <v>3145</v>
      </c>
      <c r="F35" s="11" t="s">
        <v>3146</v>
      </c>
      <c r="G35" s="11" t="s">
        <v>3147</v>
      </c>
      <c r="H35" s="11" t="s">
        <v>3148</v>
      </c>
      <c r="I35" s="12" t="s">
        <v>29</v>
      </c>
      <c r="J35" s="12" t="s">
        <v>75</v>
      </c>
      <c r="K35" s="12">
        <v>12.0</v>
      </c>
      <c r="L35" s="15" t="s">
        <v>47</v>
      </c>
      <c r="M35" s="17"/>
      <c r="N35" s="17"/>
    </row>
    <row r="36" ht="14.25" customHeight="1">
      <c r="A36" s="19" t="s">
        <v>3149</v>
      </c>
      <c r="B36" s="21" t="s">
        <v>828</v>
      </c>
      <c r="C36" s="21" t="s">
        <v>3144</v>
      </c>
      <c r="D36" s="19" t="s">
        <v>31</v>
      </c>
      <c r="E36" s="21" t="s">
        <v>3145</v>
      </c>
      <c r="F36" s="21" t="s">
        <v>3150</v>
      </c>
      <c r="G36" s="21" t="s">
        <v>3151</v>
      </c>
      <c r="H36" s="21" t="s">
        <v>3152</v>
      </c>
      <c r="I36" s="19" t="s">
        <v>29</v>
      </c>
      <c r="J36" s="19" t="s">
        <v>75</v>
      </c>
      <c r="K36" s="19">
        <v>20.0</v>
      </c>
      <c r="L36" s="15" t="s">
        <v>47</v>
      </c>
      <c r="M36" s="17"/>
      <c r="N36" s="17"/>
    </row>
    <row r="37" ht="14.25" customHeight="1">
      <c r="A37" s="12" t="s">
        <v>3153</v>
      </c>
      <c r="B37" s="11" t="s">
        <v>828</v>
      </c>
      <c r="C37" s="11" t="s">
        <v>3154</v>
      </c>
      <c r="D37" s="12" t="s">
        <v>31</v>
      </c>
      <c r="E37" s="11" t="s">
        <v>3155</v>
      </c>
      <c r="F37" s="11" t="s">
        <v>3156</v>
      </c>
      <c r="G37" s="11" t="s">
        <v>3157</v>
      </c>
      <c r="H37" s="11" t="s">
        <v>3158</v>
      </c>
      <c r="I37" s="12" t="s">
        <v>28</v>
      </c>
      <c r="J37" s="12" t="s">
        <v>103</v>
      </c>
      <c r="K37" s="12">
        <v>20.0</v>
      </c>
      <c r="L37" s="15" t="s">
        <v>47</v>
      </c>
      <c r="M37" s="17"/>
      <c r="N37" s="17"/>
    </row>
    <row r="38" ht="14.25" customHeight="1">
      <c r="A38" s="19" t="s">
        <v>3159</v>
      </c>
      <c r="B38" s="21" t="s">
        <v>828</v>
      </c>
      <c r="C38" s="21" t="s">
        <v>3154</v>
      </c>
      <c r="D38" s="19" t="s">
        <v>31</v>
      </c>
      <c r="E38" s="21" t="s">
        <v>3155</v>
      </c>
      <c r="F38" s="21" t="s">
        <v>3160</v>
      </c>
      <c r="G38" s="21" t="s">
        <v>3161</v>
      </c>
      <c r="H38" s="21" t="s">
        <v>3162</v>
      </c>
      <c r="I38" s="19" t="s">
        <v>28</v>
      </c>
      <c r="J38" s="19" t="s">
        <v>75</v>
      </c>
      <c r="K38" s="19">
        <v>25.0</v>
      </c>
      <c r="L38" s="15" t="s">
        <v>47</v>
      </c>
      <c r="M38" s="17"/>
      <c r="N38" s="17"/>
    </row>
    <row r="39" ht="14.25" customHeight="1">
      <c r="A39" s="12" t="s">
        <v>3163</v>
      </c>
      <c r="B39" s="11" t="s">
        <v>828</v>
      </c>
      <c r="C39" s="11" t="s">
        <v>3154</v>
      </c>
      <c r="D39" s="12" t="s">
        <v>31</v>
      </c>
      <c r="E39" s="11" t="s">
        <v>3155</v>
      </c>
      <c r="F39" s="11" t="s">
        <v>3164</v>
      </c>
      <c r="G39" s="11" t="s">
        <v>3165</v>
      </c>
      <c r="H39" s="11" t="s">
        <v>3166</v>
      </c>
      <c r="I39" s="12" t="s">
        <v>29</v>
      </c>
      <c r="J39" s="12" t="s">
        <v>103</v>
      </c>
      <c r="K39" s="12">
        <v>15.0</v>
      </c>
      <c r="L39" s="15" t="s">
        <v>47</v>
      </c>
      <c r="M39" s="17"/>
      <c r="N39" s="17"/>
    </row>
    <row r="40" ht="14.25" customHeight="1">
      <c r="A40" s="19" t="s">
        <v>3167</v>
      </c>
      <c r="B40" s="21" t="s">
        <v>828</v>
      </c>
      <c r="C40" s="21" t="s">
        <v>3168</v>
      </c>
      <c r="D40" s="19" t="s">
        <v>31</v>
      </c>
      <c r="E40" s="21" t="s">
        <v>3169</v>
      </c>
      <c r="F40" s="21" t="s">
        <v>3170</v>
      </c>
      <c r="G40" s="21" t="s">
        <v>3171</v>
      </c>
      <c r="H40" s="21" t="s">
        <v>3172</v>
      </c>
      <c r="I40" s="19" t="s">
        <v>28</v>
      </c>
      <c r="J40" s="19" t="s">
        <v>75</v>
      </c>
      <c r="K40" s="19">
        <v>20.0</v>
      </c>
      <c r="L40" s="15" t="s">
        <v>47</v>
      </c>
      <c r="M40" s="17"/>
      <c r="N40" s="17"/>
    </row>
    <row r="41" ht="14.25" customHeight="1">
      <c r="A41" s="12" t="s">
        <v>3173</v>
      </c>
      <c r="B41" s="11" t="s">
        <v>828</v>
      </c>
      <c r="C41" s="11" t="s">
        <v>3168</v>
      </c>
      <c r="D41" s="12" t="s">
        <v>183</v>
      </c>
      <c r="E41" s="11" t="s">
        <v>3174</v>
      </c>
      <c r="F41" s="11" t="s">
        <v>3175</v>
      </c>
      <c r="G41" s="11" t="s">
        <v>3176</v>
      </c>
      <c r="H41" s="11" t="s">
        <v>3177</v>
      </c>
      <c r="I41" s="12" t="s">
        <v>28</v>
      </c>
      <c r="J41" s="12" t="s">
        <v>352</v>
      </c>
      <c r="K41" s="12">
        <v>40.0</v>
      </c>
      <c r="L41" s="15" t="s">
        <v>47</v>
      </c>
      <c r="M41" s="17"/>
      <c r="N41" s="17"/>
    </row>
    <row r="42" ht="14.25" customHeight="1">
      <c r="A42" s="19" t="s">
        <v>3178</v>
      </c>
      <c r="B42" s="21" t="s">
        <v>828</v>
      </c>
      <c r="C42" s="21" t="s">
        <v>3179</v>
      </c>
      <c r="D42" s="19" t="s">
        <v>31</v>
      </c>
      <c r="E42" s="21" t="s">
        <v>3180</v>
      </c>
      <c r="F42" s="21" t="s">
        <v>3181</v>
      </c>
      <c r="G42" s="21" t="s">
        <v>3182</v>
      </c>
      <c r="H42" s="21" t="s">
        <v>3183</v>
      </c>
      <c r="I42" s="19" t="s">
        <v>28</v>
      </c>
      <c r="J42" s="19" t="s">
        <v>75</v>
      </c>
      <c r="K42" s="19">
        <v>25.0</v>
      </c>
      <c r="L42" s="15" t="s">
        <v>47</v>
      </c>
      <c r="M42" s="17"/>
      <c r="N42" s="17"/>
    </row>
    <row r="43" ht="14.25" customHeight="1">
      <c r="A43" s="12" t="s">
        <v>3184</v>
      </c>
      <c r="B43" s="11" t="s">
        <v>828</v>
      </c>
      <c r="C43" s="11" t="s">
        <v>3185</v>
      </c>
      <c r="D43" s="12" t="s">
        <v>31</v>
      </c>
      <c r="E43" s="11" t="s">
        <v>3186</v>
      </c>
      <c r="F43" s="11" t="s">
        <v>3187</v>
      </c>
      <c r="G43" s="11" t="s">
        <v>3188</v>
      </c>
      <c r="H43" s="11" t="s">
        <v>3189</v>
      </c>
      <c r="I43" s="12" t="s">
        <v>29</v>
      </c>
      <c r="J43" s="12" t="s">
        <v>75</v>
      </c>
      <c r="K43" s="12">
        <v>18.0</v>
      </c>
      <c r="L43" s="15" t="s">
        <v>47</v>
      </c>
      <c r="M43" s="17"/>
      <c r="N43" s="17"/>
    </row>
    <row r="44" ht="14.25" customHeight="1">
      <c r="A44" s="19" t="s">
        <v>3190</v>
      </c>
      <c r="B44" s="21" t="s">
        <v>828</v>
      </c>
      <c r="C44" s="21" t="s">
        <v>3185</v>
      </c>
      <c r="D44" s="19" t="s">
        <v>31</v>
      </c>
      <c r="E44" s="21" t="s">
        <v>3191</v>
      </c>
      <c r="F44" s="21" t="s">
        <v>3192</v>
      </c>
      <c r="G44" s="21" t="s">
        <v>3193</v>
      </c>
      <c r="H44" s="21" t="s">
        <v>3194</v>
      </c>
      <c r="I44" s="19" t="s">
        <v>29</v>
      </c>
      <c r="J44" s="19" t="s">
        <v>75</v>
      </c>
      <c r="K44" s="19">
        <v>25.0</v>
      </c>
      <c r="L44" s="15" t="s">
        <v>47</v>
      </c>
      <c r="M44" s="17"/>
      <c r="N44" s="17"/>
    </row>
    <row r="45" ht="14.25" customHeight="1">
      <c r="A45" s="12" t="s">
        <v>3195</v>
      </c>
      <c r="B45" s="11" t="s">
        <v>828</v>
      </c>
      <c r="C45" s="11" t="s">
        <v>3196</v>
      </c>
      <c r="D45" s="12" t="s">
        <v>183</v>
      </c>
      <c r="E45" s="11" t="s">
        <v>3197</v>
      </c>
      <c r="F45" s="11" t="s">
        <v>3198</v>
      </c>
      <c r="G45" s="11" t="s">
        <v>3199</v>
      </c>
      <c r="H45" s="11" t="s">
        <v>3200</v>
      </c>
      <c r="I45" s="12" t="s">
        <v>28</v>
      </c>
      <c r="J45" s="12" t="s">
        <v>114</v>
      </c>
      <c r="K45" s="12">
        <v>60.0</v>
      </c>
      <c r="L45" s="15" t="s">
        <v>47</v>
      </c>
      <c r="M45" s="17"/>
      <c r="N45" s="17"/>
    </row>
    <row r="46" ht="14.25" customHeight="1">
      <c r="A46" s="19" t="s">
        <v>3201</v>
      </c>
      <c r="B46" s="21" t="s">
        <v>828</v>
      </c>
      <c r="C46" s="21" t="s">
        <v>3196</v>
      </c>
      <c r="D46" s="19" t="s">
        <v>183</v>
      </c>
      <c r="E46" s="21" t="s">
        <v>3197</v>
      </c>
      <c r="F46" s="21" t="s">
        <v>3202</v>
      </c>
      <c r="G46" s="21" t="s">
        <v>3203</v>
      </c>
      <c r="H46" s="21" t="s">
        <v>3204</v>
      </c>
      <c r="I46" s="19" t="s">
        <v>28</v>
      </c>
      <c r="J46" s="19" t="s">
        <v>114</v>
      </c>
      <c r="K46" s="19">
        <v>60.0</v>
      </c>
      <c r="L46" s="15" t="s">
        <v>47</v>
      </c>
      <c r="M46" s="17"/>
      <c r="N46" s="17"/>
    </row>
    <row r="47" ht="14.25" customHeight="1">
      <c r="A47" s="12" t="s">
        <v>3205</v>
      </c>
      <c r="B47" s="11" t="s">
        <v>828</v>
      </c>
      <c r="C47" s="11" t="s">
        <v>3196</v>
      </c>
      <c r="D47" s="12" t="s">
        <v>183</v>
      </c>
      <c r="E47" s="11" t="s">
        <v>3197</v>
      </c>
      <c r="F47" s="11" t="s">
        <v>3206</v>
      </c>
      <c r="G47" s="11" t="s">
        <v>3207</v>
      </c>
      <c r="H47" s="11" t="s">
        <v>3208</v>
      </c>
      <c r="I47" s="12" t="s">
        <v>28</v>
      </c>
      <c r="J47" s="12" t="s">
        <v>114</v>
      </c>
      <c r="K47" s="12">
        <v>50.0</v>
      </c>
      <c r="L47" s="15" t="s">
        <v>47</v>
      </c>
      <c r="M47" s="17"/>
      <c r="N47" s="17"/>
    </row>
    <row r="48" ht="14.25" customHeight="1">
      <c r="A48" s="19" t="s">
        <v>3209</v>
      </c>
      <c r="B48" s="21" t="s">
        <v>828</v>
      </c>
      <c r="C48" s="21" t="s">
        <v>3196</v>
      </c>
      <c r="D48" s="19" t="s">
        <v>183</v>
      </c>
      <c r="E48" s="21" t="s">
        <v>3197</v>
      </c>
      <c r="F48" s="21" t="s">
        <v>3210</v>
      </c>
      <c r="G48" s="21" t="s">
        <v>3211</v>
      </c>
      <c r="H48" s="21" t="s">
        <v>3212</v>
      </c>
      <c r="I48" s="19" t="s">
        <v>28</v>
      </c>
      <c r="J48" s="19" t="s">
        <v>114</v>
      </c>
      <c r="K48" s="19">
        <v>50.0</v>
      </c>
      <c r="L48" s="15" t="s">
        <v>47</v>
      </c>
      <c r="M48" s="17"/>
      <c r="N48" s="17"/>
    </row>
    <row r="49" ht="14.25" customHeight="1">
      <c r="A49" s="12" t="s">
        <v>3213</v>
      </c>
      <c r="B49" s="11" t="s">
        <v>828</v>
      </c>
      <c r="C49" s="11" t="s">
        <v>3196</v>
      </c>
      <c r="D49" s="12" t="s">
        <v>183</v>
      </c>
      <c r="E49" s="11" t="s">
        <v>3197</v>
      </c>
      <c r="F49" s="11" t="s">
        <v>3214</v>
      </c>
      <c r="G49" s="11" t="s">
        <v>3215</v>
      </c>
      <c r="H49" s="11" t="s">
        <v>3216</v>
      </c>
      <c r="I49" s="12" t="s">
        <v>28</v>
      </c>
      <c r="J49" s="12" t="s">
        <v>114</v>
      </c>
      <c r="K49" s="12">
        <v>50.0</v>
      </c>
      <c r="L49" s="15" t="s">
        <v>47</v>
      </c>
      <c r="M49" s="17"/>
      <c r="N49" s="17"/>
    </row>
    <row r="50" ht="14.25" customHeight="1">
      <c r="A50" s="19" t="s">
        <v>3217</v>
      </c>
      <c r="B50" s="21" t="s">
        <v>828</v>
      </c>
      <c r="C50" s="21" t="s">
        <v>2971</v>
      </c>
      <c r="D50" s="19" t="s">
        <v>31</v>
      </c>
      <c r="E50" s="21" t="s">
        <v>3218</v>
      </c>
      <c r="F50" s="21" t="s">
        <v>3219</v>
      </c>
      <c r="G50" s="21" t="s">
        <v>3220</v>
      </c>
      <c r="H50" s="21" t="s">
        <v>3222</v>
      </c>
      <c r="I50" s="19" t="s">
        <v>28</v>
      </c>
      <c r="J50" s="19" t="s">
        <v>114</v>
      </c>
      <c r="K50" s="19">
        <v>30.0</v>
      </c>
      <c r="L50" s="15" t="s">
        <v>47</v>
      </c>
      <c r="M50" s="17"/>
      <c r="N50" s="17"/>
    </row>
    <row r="51" ht="14.25" customHeight="1">
      <c r="A51" s="12" t="s">
        <v>3223</v>
      </c>
      <c r="B51" s="11" t="s">
        <v>828</v>
      </c>
      <c r="C51" s="11" t="s">
        <v>2971</v>
      </c>
      <c r="D51" s="12" t="s">
        <v>33</v>
      </c>
      <c r="E51" s="11" t="s">
        <v>3218</v>
      </c>
      <c r="F51" s="11" t="s">
        <v>3224</v>
      </c>
      <c r="G51" s="11" t="s">
        <v>3225</v>
      </c>
      <c r="H51" s="11" t="s">
        <v>3226</v>
      </c>
      <c r="I51" s="12" t="s">
        <v>28</v>
      </c>
      <c r="J51" s="12" t="s">
        <v>114</v>
      </c>
      <c r="K51" s="12">
        <v>30.0</v>
      </c>
      <c r="L51" s="15" t="s">
        <v>47</v>
      </c>
      <c r="M51" s="17"/>
      <c r="N51" s="17"/>
    </row>
    <row r="52" ht="14.25" customHeight="1">
      <c r="A52" s="19" t="s">
        <v>3227</v>
      </c>
      <c r="B52" s="21" t="s">
        <v>828</v>
      </c>
      <c r="C52" s="21" t="s">
        <v>2971</v>
      </c>
      <c r="D52" s="19" t="s">
        <v>183</v>
      </c>
      <c r="E52" s="21" t="s">
        <v>3228</v>
      </c>
      <c r="F52" s="21" t="s">
        <v>3229</v>
      </c>
      <c r="G52" s="21" t="s">
        <v>3230</v>
      </c>
      <c r="H52" s="21" t="s">
        <v>3231</v>
      </c>
      <c r="I52" s="19" t="s">
        <v>28</v>
      </c>
      <c r="J52" s="19" t="s">
        <v>114</v>
      </c>
      <c r="K52" s="19">
        <v>35.0</v>
      </c>
      <c r="L52" s="15" t="s">
        <v>47</v>
      </c>
      <c r="M52" s="17"/>
      <c r="N52" s="17"/>
    </row>
    <row r="53" ht="14.25" customHeight="1">
      <c r="A53" s="12" t="s">
        <v>3232</v>
      </c>
      <c r="B53" s="11" t="s">
        <v>828</v>
      </c>
      <c r="C53" s="11" t="s">
        <v>2971</v>
      </c>
      <c r="D53" s="12" t="s">
        <v>31</v>
      </c>
      <c r="E53" s="11" t="s">
        <v>3233</v>
      </c>
      <c r="F53" s="11" t="s">
        <v>3234</v>
      </c>
      <c r="G53" s="11" t="s">
        <v>3235</v>
      </c>
      <c r="H53" s="11" t="s">
        <v>3236</v>
      </c>
      <c r="I53" s="12" t="s">
        <v>28</v>
      </c>
      <c r="J53" s="12" t="s">
        <v>114</v>
      </c>
      <c r="K53" s="12">
        <v>30.0</v>
      </c>
      <c r="L53" s="15" t="s">
        <v>47</v>
      </c>
      <c r="M53" s="17"/>
      <c r="N53" s="17"/>
    </row>
    <row r="54" ht="14.25" customHeight="1"/>
    <row r="55" ht="14.25" customHeight="1">
      <c r="J55" s="3" t="s">
        <v>789</v>
      </c>
      <c r="K55" s="27">
        <f>SUM(K3:K53)</f>
        <v>1369</v>
      </c>
    </row>
    <row r="56" ht="14.25" customHeight="1">
      <c r="J56" s="3" t="s">
        <v>808</v>
      </c>
      <c r="K56" s="28">
        <f>K55/60</f>
        <v>22.81666667</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53"/>
  <mergeCells count="1">
    <mergeCell ref="A1:N1"/>
  </mergeCells>
  <conditionalFormatting sqref="L3:L53">
    <cfRule type="cellIs" dxfId="0" priority="1" operator="equal">
      <formula>"Pass"</formula>
    </cfRule>
  </conditionalFormatting>
  <conditionalFormatting sqref="L3:L53">
    <cfRule type="cellIs" dxfId="1" priority="2" operator="equal">
      <formula>"Fail"</formula>
    </cfRule>
  </conditionalFormatting>
  <conditionalFormatting sqref="L3:L53">
    <cfRule type="cellIs" dxfId="2" priority="3" operator="equal">
      <formula>"Blocked"</formula>
    </cfRule>
  </conditionalFormatting>
  <dataValidations>
    <dataValidation type="list" allowBlank="1" sqref="L3:L53">
      <formula1>"Not Run,Pass,Fail,Blocked,N-A"</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3221</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3238</v>
      </c>
      <c r="B3" s="11" t="s">
        <v>888</v>
      </c>
      <c r="C3" s="11" t="s">
        <v>3239</v>
      </c>
      <c r="D3" s="12" t="s">
        <v>31</v>
      </c>
      <c r="E3" s="11" t="s">
        <v>3240</v>
      </c>
      <c r="F3" s="11" t="s">
        <v>3241</v>
      </c>
      <c r="G3" s="11" t="s">
        <v>3242</v>
      </c>
      <c r="H3" s="11" t="s">
        <v>3243</v>
      </c>
      <c r="I3" s="12" t="s">
        <v>29</v>
      </c>
      <c r="J3" s="12" t="s">
        <v>75</v>
      </c>
      <c r="K3" s="12">
        <v>15.0</v>
      </c>
      <c r="L3" s="15" t="s">
        <v>47</v>
      </c>
      <c r="M3" s="17"/>
      <c r="N3" s="17"/>
    </row>
    <row r="4" ht="14.25" customHeight="1">
      <c r="A4" s="19" t="s">
        <v>3244</v>
      </c>
      <c r="B4" s="21" t="s">
        <v>888</v>
      </c>
      <c r="C4" s="21" t="s">
        <v>3245</v>
      </c>
      <c r="D4" s="19" t="s">
        <v>31</v>
      </c>
      <c r="E4" s="21" t="s">
        <v>3246</v>
      </c>
      <c r="F4" s="21" t="s">
        <v>3247</v>
      </c>
      <c r="G4" s="21" t="s">
        <v>3248</v>
      </c>
      <c r="H4" s="21" t="s">
        <v>3249</v>
      </c>
      <c r="I4" s="19" t="s">
        <v>28</v>
      </c>
      <c r="J4" s="19" t="s">
        <v>75</v>
      </c>
      <c r="K4" s="19">
        <v>18.0</v>
      </c>
      <c r="L4" s="15" t="s">
        <v>47</v>
      </c>
      <c r="M4" s="17"/>
      <c r="N4" s="17"/>
    </row>
    <row r="5" ht="14.25" customHeight="1">
      <c r="A5" s="12" t="s">
        <v>3251</v>
      </c>
      <c r="B5" s="11" t="s">
        <v>888</v>
      </c>
      <c r="C5" s="11" t="s">
        <v>3245</v>
      </c>
      <c r="D5" s="12" t="s">
        <v>31</v>
      </c>
      <c r="E5" s="11" t="s">
        <v>3255</v>
      </c>
      <c r="F5" s="11" t="s">
        <v>3257</v>
      </c>
      <c r="G5" s="11" t="s">
        <v>3259</v>
      </c>
      <c r="H5" s="11" t="s">
        <v>3260</v>
      </c>
      <c r="I5" s="12" t="s">
        <v>28</v>
      </c>
      <c r="J5" s="12" t="s">
        <v>352</v>
      </c>
      <c r="K5" s="12">
        <v>35.0</v>
      </c>
      <c r="L5" s="15" t="s">
        <v>47</v>
      </c>
      <c r="M5" s="17"/>
      <c r="N5" s="17"/>
    </row>
    <row r="6" ht="14.25" customHeight="1">
      <c r="A6" s="19" t="s">
        <v>3261</v>
      </c>
      <c r="B6" s="21" t="s">
        <v>888</v>
      </c>
      <c r="C6" s="21" t="s">
        <v>3262</v>
      </c>
      <c r="D6" s="19" t="s">
        <v>31</v>
      </c>
      <c r="E6" s="21" t="s">
        <v>3246</v>
      </c>
      <c r="F6" s="21" t="s">
        <v>3263</v>
      </c>
      <c r="G6" s="21" t="s">
        <v>3264</v>
      </c>
      <c r="H6" s="21" t="s">
        <v>3265</v>
      </c>
      <c r="I6" s="19" t="s">
        <v>28</v>
      </c>
      <c r="J6" s="19" t="s">
        <v>75</v>
      </c>
      <c r="K6" s="19">
        <v>18.0</v>
      </c>
      <c r="L6" s="15" t="s">
        <v>47</v>
      </c>
      <c r="M6" s="17"/>
      <c r="N6" s="17"/>
    </row>
    <row r="7" ht="14.25" customHeight="1">
      <c r="A7" s="12" t="s">
        <v>3266</v>
      </c>
      <c r="B7" s="11" t="s">
        <v>888</v>
      </c>
      <c r="C7" s="11" t="s">
        <v>3262</v>
      </c>
      <c r="D7" s="12" t="s">
        <v>31</v>
      </c>
      <c r="E7" s="11" t="s">
        <v>3268</v>
      </c>
      <c r="F7" s="11" t="s">
        <v>3269</v>
      </c>
      <c r="G7" s="11" t="s">
        <v>3270</v>
      </c>
      <c r="H7" s="11" t="s">
        <v>3271</v>
      </c>
      <c r="I7" s="12" t="s">
        <v>28</v>
      </c>
      <c r="J7" s="12" t="s">
        <v>75</v>
      </c>
      <c r="K7" s="12">
        <v>25.0</v>
      </c>
      <c r="L7" s="15" t="s">
        <v>47</v>
      </c>
      <c r="M7" s="17"/>
      <c r="N7" s="17"/>
    </row>
    <row r="8" ht="14.25" customHeight="1">
      <c r="A8" s="19" t="s">
        <v>3276</v>
      </c>
      <c r="B8" s="21" t="s">
        <v>888</v>
      </c>
      <c r="C8" s="21" t="s">
        <v>3262</v>
      </c>
      <c r="D8" s="19" t="s">
        <v>31</v>
      </c>
      <c r="E8" s="21" t="s">
        <v>3279</v>
      </c>
      <c r="F8" s="21" t="s">
        <v>3281</v>
      </c>
      <c r="G8" s="21" t="s">
        <v>3283</v>
      </c>
      <c r="H8" s="21" t="s">
        <v>3284</v>
      </c>
      <c r="I8" s="19" t="s">
        <v>28</v>
      </c>
      <c r="J8" s="19" t="s">
        <v>103</v>
      </c>
      <c r="K8" s="19">
        <v>20.0</v>
      </c>
      <c r="L8" s="15" t="s">
        <v>47</v>
      </c>
      <c r="M8" s="17"/>
      <c r="N8" s="17"/>
    </row>
    <row r="9" ht="14.25" customHeight="1">
      <c r="A9" s="12" t="s">
        <v>3286</v>
      </c>
      <c r="B9" s="11" t="s">
        <v>888</v>
      </c>
      <c r="C9" s="11" t="s">
        <v>3262</v>
      </c>
      <c r="D9" s="12" t="s">
        <v>31</v>
      </c>
      <c r="E9" s="11" t="s">
        <v>3287</v>
      </c>
      <c r="F9" s="11" t="s">
        <v>3289</v>
      </c>
      <c r="G9" s="11" t="s">
        <v>3290</v>
      </c>
      <c r="H9" s="11" t="s">
        <v>3291</v>
      </c>
      <c r="I9" s="12" t="s">
        <v>28</v>
      </c>
      <c r="J9" s="12" t="s">
        <v>352</v>
      </c>
      <c r="K9" s="12">
        <v>45.0</v>
      </c>
      <c r="L9" s="15" t="s">
        <v>47</v>
      </c>
      <c r="M9" s="17"/>
      <c r="N9" s="17"/>
    </row>
    <row r="10" ht="14.25" customHeight="1">
      <c r="A10" s="19" t="s">
        <v>3296</v>
      </c>
      <c r="B10" s="21" t="s">
        <v>888</v>
      </c>
      <c r="C10" s="21" t="s">
        <v>3298</v>
      </c>
      <c r="D10" s="19" t="s">
        <v>31</v>
      </c>
      <c r="E10" s="21" t="s">
        <v>3246</v>
      </c>
      <c r="F10" s="21" t="s">
        <v>3299</v>
      </c>
      <c r="G10" s="21" t="s">
        <v>3300</v>
      </c>
      <c r="H10" s="21" t="s">
        <v>3301</v>
      </c>
      <c r="I10" s="19" t="s">
        <v>28</v>
      </c>
      <c r="J10" s="19" t="s">
        <v>75</v>
      </c>
      <c r="K10" s="19">
        <v>30.0</v>
      </c>
      <c r="L10" s="15" t="s">
        <v>47</v>
      </c>
      <c r="M10" s="17"/>
      <c r="N10" s="17"/>
    </row>
    <row r="11" ht="14.25" customHeight="1">
      <c r="A11" s="12" t="s">
        <v>3303</v>
      </c>
      <c r="B11" s="11" t="s">
        <v>888</v>
      </c>
      <c r="C11" s="11" t="s">
        <v>3298</v>
      </c>
      <c r="D11" s="12" t="s">
        <v>31</v>
      </c>
      <c r="E11" s="11" t="s">
        <v>3306</v>
      </c>
      <c r="F11" s="11" t="s">
        <v>3308</v>
      </c>
      <c r="G11" s="11" t="s">
        <v>3309</v>
      </c>
      <c r="H11" s="11" t="s">
        <v>3310</v>
      </c>
      <c r="I11" s="12" t="s">
        <v>29</v>
      </c>
      <c r="J11" s="12" t="s">
        <v>102</v>
      </c>
      <c r="K11" s="12">
        <v>25.0</v>
      </c>
      <c r="L11" s="15" t="s">
        <v>47</v>
      </c>
      <c r="M11" s="17"/>
      <c r="N11" s="17"/>
    </row>
    <row r="12" ht="14.25" customHeight="1">
      <c r="A12" s="19" t="s">
        <v>3312</v>
      </c>
      <c r="B12" s="21" t="s">
        <v>888</v>
      </c>
      <c r="C12" s="21" t="s">
        <v>3313</v>
      </c>
      <c r="D12" s="19" t="s">
        <v>31</v>
      </c>
      <c r="E12" s="21" t="s">
        <v>3246</v>
      </c>
      <c r="F12" s="21" t="s">
        <v>3316</v>
      </c>
      <c r="G12" s="21" t="s">
        <v>3318</v>
      </c>
      <c r="H12" s="21" t="s">
        <v>3319</v>
      </c>
      <c r="I12" s="19" t="s">
        <v>29</v>
      </c>
      <c r="J12" s="19" t="s">
        <v>75</v>
      </c>
      <c r="K12" s="19">
        <v>30.0</v>
      </c>
      <c r="L12" s="15" t="s">
        <v>47</v>
      </c>
      <c r="M12" s="17"/>
      <c r="N12" s="17"/>
    </row>
    <row r="13" ht="14.25" customHeight="1">
      <c r="A13" s="12" t="s">
        <v>3321</v>
      </c>
      <c r="B13" s="11" t="s">
        <v>888</v>
      </c>
      <c r="C13" s="11" t="s">
        <v>3326</v>
      </c>
      <c r="D13" s="12" t="s">
        <v>31</v>
      </c>
      <c r="E13" s="11" t="s">
        <v>3246</v>
      </c>
      <c r="F13" s="11" t="s">
        <v>3328</v>
      </c>
      <c r="G13" s="11" t="s">
        <v>3329</v>
      </c>
      <c r="H13" s="11" t="s">
        <v>3330</v>
      </c>
      <c r="I13" s="12" t="s">
        <v>29</v>
      </c>
      <c r="J13" s="12" t="s">
        <v>75</v>
      </c>
      <c r="K13" s="12">
        <v>25.0</v>
      </c>
      <c r="L13" s="15" t="s">
        <v>47</v>
      </c>
      <c r="M13" s="17"/>
      <c r="N13" s="17"/>
    </row>
    <row r="14" ht="14.25" customHeight="1">
      <c r="A14" s="19" t="s">
        <v>3334</v>
      </c>
      <c r="B14" s="21" t="s">
        <v>888</v>
      </c>
      <c r="C14" s="21" t="s">
        <v>3326</v>
      </c>
      <c r="D14" s="19" t="s">
        <v>31</v>
      </c>
      <c r="E14" s="21" t="s">
        <v>3335</v>
      </c>
      <c r="F14" s="21" t="s">
        <v>3337</v>
      </c>
      <c r="G14" s="21" t="s">
        <v>3338</v>
      </c>
      <c r="H14" s="21" t="s">
        <v>3339</v>
      </c>
      <c r="I14" s="19" t="s">
        <v>28</v>
      </c>
      <c r="J14" s="19" t="s">
        <v>103</v>
      </c>
      <c r="K14" s="19">
        <v>20.0</v>
      </c>
      <c r="L14" s="15" t="s">
        <v>47</v>
      </c>
      <c r="M14" s="17"/>
      <c r="N14" s="17"/>
    </row>
    <row r="15" ht="14.25" customHeight="1">
      <c r="A15" s="12" t="s">
        <v>3344</v>
      </c>
      <c r="B15" s="11" t="s">
        <v>888</v>
      </c>
      <c r="C15" s="11" t="s">
        <v>352</v>
      </c>
      <c r="D15" s="12" t="s">
        <v>31</v>
      </c>
      <c r="E15" s="11" t="s">
        <v>3349</v>
      </c>
      <c r="F15" s="11" t="s">
        <v>3350</v>
      </c>
      <c r="G15" s="11" t="s">
        <v>3351</v>
      </c>
      <c r="H15" s="11" t="s">
        <v>3352</v>
      </c>
      <c r="I15" s="12" t="s">
        <v>28</v>
      </c>
      <c r="J15" s="12" t="s">
        <v>352</v>
      </c>
      <c r="K15" s="12">
        <v>45.0</v>
      </c>
      <c r="L15" s="15" t="s">
        <v>47</v>
      </c>
      <c r="M15" s="17"/>
      <c r="N15" s="17"/>
    </row>
    <row r="16" ht="14.25" customHeight="1">
      <c r="A16" s="19" t="s">
        <v>3355</v>
      </c>
      <c r="B16" s="21" t="s">
        <v>888</v>
      </c>
      <c r="C16" s="21" t="s">
        <v>352</v>
      </c>
      <c r="D16" s="19" t="s">
        <v>31</v>
      </c>
      <c r="E16" s="21" t="s">
        <v>3358</v>
      </c>
      <c r="F16" s="21" t="s">
        <v>3359</v>
      </c>
      <c r="G16" s="21" t="s">
        <v>3360</v>
      </c>
      <c r="H16" s="21" t="s">
        <v>3362</v>
      </c>
      <c r="I16" s="19" t="s">
        <v>28</v>
      </c>
      <c r="J16" s="19" t="s">
        <v>352</v>
      </c>
      <c r="K16" s="19">
        <v>45.0</v>
      </c>
      <c r="L16" s="15" t="s">
        <v>47</v>
      </c>
      <c r="M16" s="17"/>
      <c r="N16" s="17"/>
    </row>
    <row r="17" ht="14.25" customHeight="1">
      <c r="A17" s="12" t="s">
        <v>3366</v>
      </c>
      <c r="B17" s="11" t="s">
        <v>888</v>
      </c>
      <c r="C17" s="11" t="s">
        <v>352</v>
      </c>
      <c r="D17" s="12" t="s">
        <v>31</v>
      </c>
      <c r="E17" s="11" t="s">
        <v>3367</v>
      </c>
      <c r="F17" s="11" t="s">
        <v>3369</v>
      </c>
      <c r="G17" s="11" t="s">
        <v>3370</v>
      </c>
      <c r="H17" s="11" t="s">
        <v>3371</v>
      </c>
      <c r="I17" s="12" t="s">
        <v>28</v>
      </c>
      <c r="J17" s="12" t="s">
        <v>352</v>
      </c>
      <c r="K17" s="12">
        <v>60.0</v>
      </c>
      <c r="L17" s="15" t="s">
        <v>47</v>
      </c>
      <c r="M17" s="17"/>
      <c r="N17" s="17"/>
    </row>
    <row r="18" ht="14.25" customHeight="1">
      <c r="A18" s="19" t="s">
        <v>3378</v>
      </c>
      <c r="B18" s="21" t="s">
        <v>888</v>
      </c>
      <c r="C18" s="21" t="s">
        <v>352</v>
      </c>
      <c r="D18" s="19" t="s">
        <v>31</v>
      </c>
      <c r="E18" s="21" t="s">
        <v>3382</v>
      </c>
      <c r="F18" s="21" t="s">
        <v>3384</v>
      </c>
      <c r="G18" s="21" t="s">
        <v>3386</v>
      </c>
      <c r="H18" s="21" t="s">
        <v>3387</v>
      </c>
      <c r="I18" s="19" t="s">
        <v>28</v>
      </c>
      <c r="J18" s="19" t="s">
        <v>103</v>
      </c>
      <c r="K18" s="19">
        <v>45.0</v>
      </c>
      <c r="L18" s="15" t="s">
        <v>47</v>
      </c>
      <c r="M18" s="17"/>
      <c r="N18" s="17"/>
    </row>
    <row r="19" ht="14.25" customHeight="1">
      <c r="A19" s="12" t="s">
        <v>3389</v>
      </c>
      <c r="B19" s="11" t="s">
        <v>888</v>
      </c>
      <c r="C19" s="11" t="s">
        <v>352</v>
      </c>
      <c r="D19" s="12" t="s">
        <v>31</v>
      </c>
      <c r="E19" s="11" t="s">
        <v>3392</v>
      </c>
      <c r="F19" s="11" t="s">
        <v>3393</v>
      </c>
      <c r="G19" s="11" t="s">
        <v>3394</v>
      </c>
      <c r="H19" s="11" t="s">
        <v>3395</v>
      </c>
      <c r="I19" s="12" t="s">
        <v>28</v>
      </c>
      <c r="J19" s="12" t="s">
        <v>352</v>
      </c>
      <c r="K19" s="12">
        <v>45.0</v>
      </c>
      <c r="L19" s="15" t="s">
        <v>47</v>
      </c>
      <c r="M19" s="17"/>
      <c r="N19" s="17"/>
    </row>
    <row r="20" ht="14.25" customHeight="1">
      <c r="A20" s="19" t="s">
        <v>3397</v>
      </c>
      <c r="B20" s="21" t="s">
        <v>888</v>
      </c>
      <c r="C20" s="21" t="s">
        <v>352</v>
      </c>
      <c r="D20" s="19" t="s">
        <v>31</v>
      </c>
      <c r="E20" s="21" t="s">
        <v>3402</v>
      </c>
      <c r="F20" s="21" t="s">
        <v>3404</v>
      </c>
      <c r="G20" s="21" t="s">
        <v>3405</v>
      </c>
      <c r="H20" s="21" t="s">
        <v>3406</v>
      </c>
      <c r="I20" s="19" t="s">
        <v>28</v>
      </c>
      <c r="J20" s="19" t="s">
        <v>352</v>
      </c>
      <c r="K20" s="19">
        <v>45.0</v>
      </c>
      <c r="L20" s="15" t="s">
        <v>47</v>
      </c>
      <c r="M20" s="17"/>
      <c r="N20" s="17"/>
    </row>
    <row r="21" ht="14.25" customHeight="1">
      <c r="A21" s="12" t="s">
        <v>3408</v>
      </c>
      <c r="B21" s="11" t="s">
        <v>888</v>
      </c>
      <c r="C21" s="11" t="s">
        <v>352</v>
      </c>
      <c r="D21" s="12" t="s">
        <v>31</v>
      </c>
      <c r="E21" s="11" t="s">
        <v>3413</v>
      </c>
      <c r="F21" s="11" t="s">
        <v>3416</v>
      </c>
      <c r="G21" s="11" t="s">
        <v>3418</v>
      </c>
      <c r="H21" s="11" t="s">
        <v>3419</v>
      </c>
      <c r="I21" s="12" t="s">
        <v>28</v>
      </c>
      <c r="J21" s="12" t="s">
        <v>352</v>
      </c>
      <c r="K21" s="12">
        <v>60.0</v>
      </c>
      <c r="L21" s="15" t="s">
        <v>47</v>
      </c>
      <c r="M21" s="17"/>
      <c r="N21" s="17"/>
    </row>
    <row r="22" ht="14.25" customHeight="1">
      <c r="A22" s="19" t="s">
        <v>3421</v>
      </c>
      <c r="B22" s="21" t="s">
        <v>888</v>
      </c>
      <c r="C22" s="21" t="s">
        <v>352</v>
      </c>
      <c r="D22" s="19" t="s">
        <v>31</v>
      </c>
      <c r="E22" s="21" t="s">
        <v>3425</v>
      </c>
      <c r="F22" s="21" t="s">
        <v>3426</v>
      </c>
      <c r="G22" s="21" t="s">
        <v>3428</v>
      </c>
      <c r="H22" s="21" t="s">
        <v>3430</v>
      </c>
      <c r="I22" s="19" t="s">
        <v>28</v>
      </c>
      <c r="J22" s="19" t="s">
        <v>352</v>
      </c>
      <c r="K22" s="19">
        <v>45.0</v>
      </c>
      <c r="L22" s="15" t="s">
        <v>47</v>
      </c>
      <c r="M22" s="17"/>
      <c r="N22" s="17"/>
    </row>
    <row r="23" ht="14.25" customHeight="1">
      <c r="A23" s="12" t="s">
        <v>3433</v>
      </c>
      <c r="B23" s="11" t="s">
        <v>888</v>
      </c>
      <c r="C23" s="11" t="s">
        <v>352</v>
      </c>
      <c r="D23" s="12" t="s">
        <v>31</v>
      </c>
      <c r="E23" s="11" t="s">
        <v>3436</v>
      </c>
      <c r="F23" s="11" t="s">
        <v>3437</v>
      </c>
      <c r="G23" s="11" t="s">
        <v>3439</v>
      </c>
      <c r="H23" s="11" t="s">
        <v>3442</v>
      </c>
      <c r="I23" s="12" t="s">
        <v>28</v>
      </c>
      <c r="J23" s="12" t="s">
        <v>352</v>
      </c>
      <c r="K23" s="12">
        <v>60.0</v>
      </c>
      <c r="L23" s="15" t="s">
        <v>47</v>
      </c>
      <c r="M23" s="17"/>
      <c r="N23" s="17"/>
    </row>
    <row r="24" ht="14.25" customHeight="1">
      <c r="A24" s="19" t="s">
        <v>3448</v>
      </c>
      <c r="B24" s="21" t="s">
        <v>888</v>
      </c>
      <c r="C24" s="21" t="s">
        <v>352</v>
      </c>
      <c r="D24" s="19" t="s">
        <v>31</v>
      </c>
      <c r="E24" s="21" t="s">
        <v>3449</v>
      </c>
      <c r="F24" s="21" t="s">
        <v>3450</v>
      </c>
      <c r="G24" s="21" t="s">
        <v>3452</v>
      </c>
      <c r="H24" s="21" t="s">
        <v>3453</v>
      </c>
      <c r="I24" s="19" t="s">
        <v>29</v>
      </c>
      <c r="J24" s="19" t="s">
        <v>352</v>
      </c>
      <c r="K24" s="19">
        <v>40.0</v>
      </c>
      <c r="L24" s="15" t="s">
        <v>47</v>
      </c>
      <c r="M24" s="17"/>
      <c r="N24" s="17"/>
    </row>
    <row r="25" ht="14.25" customHeight="1">
      <c r="A25" s="12" t="s">
        <v>3460</v>
      </c>
      <c r="B25" s="11" t="s">
        <v>888</v>
      </c>
      <c r="C25" s="11" t="s">
        <v>352</v>
      </c>
      <c r="D25" s="12" t="s">
        <v>31</v>
      </c>
      <c r="E25" s="11" t="s">
        <v>3463</v>
      </c>
      <c r="F25" s="11" t="s">
        <v>3465</v>
      </c>
      <c r="G25" s="11" t="s">
        <v>3466</v>
      </c>
      <c r="H25" s="11" t="s">
        <v>3467</v>
      </c>
      <c r="I25" s="12" t="s">
        <v>28</v>
      </c>
      <c r="J25" s="12" t="s">
        <v>114</v>
      </c>
      <c r="K25" s="12">
        <v>45.0</v>
      </c>
      <c r="L25" s="15" t="s">
        <v>47</v>
      </c>
      <c r="M25" s="17"/>
      <c r="N25" s="17"/>
    </row>
    <row r="26" ht="14.25" customHeight="1">
      <c r="A26" s="19" t="s">
        <v>3471</v>
      </c>
      <c r="B26" s="21" t="s">
        <v>888</v>
      </c>
      <c r="C26" s="21" t="s">
        <v>2845</v>
      </c>
      <c r="D26" s="19" t="s">
        <v>31</v>
      </c>
      <c r="E26" s="21" t="s">
        <v>3475</v>
      </c>
      <c r="F26" s="21" t="s">
        <v>3477</v>
      </c>
      <c r="G26" s="21" t="s">
        <v>3479</v>
      </c>
      <c r="H26" s="21" t="s">
        <v>3480</v>
      </c>
      <c r="I26" s="19" t="s">
        <v>28</v>
      </c>
      <c r="J26" s="19" t="s">
        <v>124</v>
      </c>
      <c r="K26" s="19">
        <v>60.0</v>
      </c>
      <c r="L26" s="15" t="s">
        <v>47</v>
      </c>
      <c r="M26" s="17"/>
      <c r="N26" s="17"/>
    </row>
    <row r="27" ht="14.25" customHeight="1">
      <c r="A27" s="12" t="s">
        <v>3485</v>
      </c>
      <c r="B27" s="11" t="s">
        <v>888</v>
      </c>
      <c r="C27" s="11" t="s">
        <v>2845</v>
      </c>
      <c r="D27" s="12" t="s">
        <v>183</v>
      </c>
      <c r="E27" s="11" t="s">
        <v>3489</v>
      </c>
      <c r="F27" s="11" t="s">
        <v>3492</v>
      </c>
      <c r="G27" s="11" t="s">
        <v>3494</v>
      </c>
      <c r="H27" s="11" t="s">
        <v>3495</v>
      </c>
      <c r="I27" s="12" t="s">
        <v>28</v>
      </c>
      <c r="J27" s="12" t="s">
        <v>352</v>
      </c>
      <c r="K27" s="12">
        <v>60.0</v>
      </c>
      <c r="L27" s="15" t="s">
        <v>47</v>
      </c>
      <c r="M27" s="17"/>
      <c r="N27" s="17"/>
    </row>
    <row r="28" ht="14.25" customHeight="1"/>
    <row r="29" ht="14.25" customHeight="1">
      <c r="J29" s="3" t="s">
        <v>789</v>
      </c>
      <c r="K29" s="27">
        <f>SUM(K3:K27)</f>
        <v>961</v>
      </c>
    </row>
    <row r="30" ht="14.25" customHeight="1">
      <c r="J30" s="3" t="s">
        <v>808</v>
      </c>
      <c r="K30" s="28">
        <f>K29/60</f>
        <v>16.01666667</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27"/>
  <mergeCells count="1">
    <mergeCell ref="A1:N1"/>
  </mergeCells>
  <conditionalFormatting sqref="L3:L27">
    <cfRule type="cellIs" dxfId="0" priority="1" operator="equal">
      <formula>"Pass"</formula>
    </cfRule>
  </conditionalFormatting>
  <conditionalFormatting sqref="L3:L27">
    <cfRule type="cellIs" dxfId="1" priority="2" operator="equal">
      <formula>"Fail"</formula>
    </cfRule>
  </conditionalFormatting>
  <conditionalFormatting sqref="L3:L27">
    <cfRule type="cellIs" dxfId="2" priority="3" operator="equal">
      <formula>"Blocked"</formula>
    </cfRule>
  </conditionalFormatting>
  <dataValidations>
    <dataValidation type="list" allowBlank="1" sqref="L3:L27">
      <formula1>"Not Run,Pass,Fail,Blocked,N-A"</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3237</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3250</v>
      </c>
      <c r="B3" s="11" t="s">
        <v>899</v>
      </c>
      <c r="C3" s="11" t="s">
        <v>3252</v>
      </c>
      <c r="D3" s="12" t="s">
        <v>33</v>
      </c>
      <c r="E3" s="11" t="s">
        <v>3253</v>
      </c>
      <c r="F3" s="11" t="s">
        <v>3254</v>
      </c>
      <c r="G3" s="11" t="s">
        <v>3256</v>
      </c>
      <c r="H3" s="11" t="s">
        <v>3258</v>
      </c>
      <c r="I3" s="12" t="s">
        <v>28</v>
      </c>
      <c r="J3" s="12" t="s">
        <v>75</v>
      </c>
      <c r="K3" s="12">
        <v>25.0</v>
      </c>
      <c r="L3" s="15" t="s">
        <v>47</v>
      </c>
      <c r="M3" s="17"/>
      <c r="N3" s="17"/>
    </row>
    <row r="4" ht="14.25" customHeight="1">
      <c r="A4" s="19" t="s">
        <v>3267</v>
      </c>
      <c r="B4" s="21" t="s">
        <v>899</v>
      </c>
      <c r="C4" s="21" t="s">
        <v>3252</v>
      </c>
      <c r="D4" s="19" t="s">
        <v>33</v>
      </c>
      <c r="E4" s="21" t="s">
        <v>3272</v>
      </c>
      <c r="F4" s="21" t="s">
        <v>3273</v>
      </c>
      <c r="G4" s="21" t="s">
        <v>3274</v>
      </c>
      <c r="H4" s="21" t="s">
        <v>3275</v>
      </c>
      <c r="I4" s="19" t="s">
        <v>28</v>
      </c>
      <c r="J4" s="19" t="s">
        <v>75</v>
      </c>
      <c r="K4" s="19">
        <v>25.0</v>
      </c>
      <c r="L4" s="15" t="s">
        <v>47</v>
      </c>
      <c r="M4" s="17"/>
      <c r="N4" s="17"/>
    </row>
    <row r="5" ht="14.25" customHeight="1">
      <c r="A5" s="12" t="s">
        <v>3277</v>
      </c>
      <c r="B5" s="11" t="s">
        <v>899</v>
      </c>
      <c r="C5" s="11" t="s">
        <v>3278</v>
      </c>
      <c r="D5" s="12" t="s">
        <v>33</v>
      </c>
      <c r="E5" s="11" t="s">
        <v>1532</v>
      </c>
      <c r="F5" s="11" t="s">
        <v>3280</v>
      </c>
      <c r="G5" s="11" t="s">
        <v>3282</v>
      </c>
      <c r="H5" s="11" t="s">
        <v>3285</v>
      </c>
      <c r="I5" s="12" t="s">
        <v>29</v>
      </c>
      <c r="J5" s="12" t="s">
        <v>197</v>
      </c>
      <c r="K5" s="12">
        <v>25.0</v>
      </c>
      <c r="L5" s="15" t="s">
        <v>47</v>
      </c>
      <c r="M5" s="17"/>
      <c r="N5" s="17"/>
    </row>
    <row r="6" ht="14.25" customHeight="1">
      <c r="A6" s="19" t="s">
        <v>3288</v>
      </c>
      <c r="B6" s="21" t="s">
        <v>899</v>
      </c>
      <c r="C6" s="21" t="s">
        <v>3292</v>
      </c>
      <c r="D6" s="19" t="s">
        <v>33</v>
      </c>
      <c r="E6" s="21" t="s">
        <v>3293</v>
      </c>
      <c r="F6" s="21" t="s">
        <v>3294</v>
      </c>
      <c r="G6" s="21" t="s">
        <v>3295</v>
      </c>
      <c r="H6" s="21" t="s">
        <v>3297</v>
      </c>
      <c r="I6" s="19" t="s">
        <v>28</v>
      </c>
      <c r="J6" s="19" t="s">
        <v>103</v>
      </c>
      <c r="K6" s="19">
        <v>20.0</v>
      </c>
      <c r="L6" s="15" t="s">
        <v>47</v>
      </c>
      <c r="M6" s="17"/>
      <c r="N6" s="17"/>
    </row>
    <row r="7" ht="14.25" customHeight="1">
      <c r="A7" s="12" t="s">
        <v>3302</v>
      </c>
      <c r="B7" s="11" t="s">
        <v>899</v>
      </c>
      <c r="C7" s="11" t="s">
        <v>3292</v>
      </c>
      <c r="D7" s="12" t="s">
        <v>33</v>
      </c>
      <c r="E7" s="11" t="s">
        <v>1532</v>
      </c>
      <c r="F7" s="11" t="s">
        <v>3304</v>
      </c>
      <c r="G7" s="11" t="s">
        <v>3305</v>
      </c>
      <c r="H7" s="11" t="s">
        <v>3307</v>
      </c>
      <c r="I7" s="12" t="s">
        <v>28</v>
      </c>
      <c r="J7" s="12" t="s">
        <v>103</v>
      </c>
      <c r="K7" s="12">
        <v>20.0</v>
      </c>
      <c r="L7" s="15" t="s">
        <v>47</v>
      </c>
      <c r="M7" s="17"/>
      <c r="N7" s="17"/>
    </row>
    <row r="8" ht="14.25" customHeight="1">
      <c r="A8" s="19" t="s">
        <v>3311</v>
      </c>
      <c r="B8" s="21" t="s">
        <v>899</v>
      </c>
      <c r="C8" s="21" t="s">
        <v>3292</v>
      </c>
      <c r="D8" s="19" t="s">
        <v>33</v>
      </c>
      <c r="E8" s="21" t="s">
        <v>3314</v>
      </c>
      <c r="F8" s="21" t="s">
        <v>3315</v>
      </c>
      <c r="G8" s="21" t="s">
        <v>3317</v>
      </c>
      <c r="H8" s="21" t="s">
        <v>3320</v>
      </c>
      <c r="I8" s="19" t="s">
        <v>28</v>
      </c>
      <c r="J8" s="19" t="s">
        <v>75</v>
      </c>
      <c r="K8" s="19">
        <v>30.0</v>
      </c>
      <c r="L8" s="15" t="s">
        <v>47</v>
      </c>
      <c r="M8" s="17"/>
      <c r="N8" s="17"/>
    </row>
    <row r="9" ht="14.25" customHeight="1">
      <c r="A9" s="12" t="s">
        <v>3322</v>
      </c>
      <c r="B9" s="11" t="s">
        <v>899</v>
      </c>
      <c r="C9" s="11" t="s">
        <v>3292</v>
      </c>
      <c r="D9" s="12" t="s">
        <v>33</v>
      </c>
      <c r="E9" s="11" t="s">
        <v>3314</v>
      </c>
      <c r="F9" s="11" t="s">
        <v>3323</v>
      </c>
      <c r="G9" s="11" t="s">
        <v>3324</v>
      </c>
      <c r="H9" s="11" t="s">
        <v>3325</v>
      </c>
      <c r="I9" s="12" t="s">
        <v>28</v>
      </c>
      <c r="J9" s="12" t="s">
        <v>75</v>
      </c>
      <c r="K9" s="12">
        <v>30.0</v>
      </c>
      <c r="L9" s="15" t="s">
        <v>47</v>
      </c>
      <c r="M9" s="17"/>
      <c r="N9" s="17"/>
    </row>
    <row r="10" ht="14.25" customHeight="1">
      <c r="A10" s="19" t="s">
        <v>3327</v>
      </c>
      <c r="B10" s="21" t="s">
        <v>899</v>
      </c>
      <c r="C10" s="21" t="s">
        <v>3292</v>
      </c>
      <c r="D10" s="19" t="s">
        <v>33</v>
      </c>
      <c r="E10" s="21" t="s">
        <v>1532</v>
      </c>
      <c r="F10" s="21" t="s">
        <v>3331</v>
      </c>
      <c r="G10" s="21" t="s">
        <v>3332</v>
      </c>
      <c r="H10" s="21" t="s">
        <v>3333</v>
      </c>
      <c r="I10" s="19" t="s">
        <v>28</v>
      </c>
      <c r="J10" s="19" t="s">
        <v>103</v>
      </c>
      <c r="K10" s="19">
        <v>25.0</v>
      </c>
      <c r="L10" s="15" t="s">
        <v>47</v>
      </c>
      <c r="M10" s="17"/>
      <c r="N10" s="17"/>
    </row>
    <row r="11" ht="14.25" customHeight="1">
      <c r="A11" s="12" t="s">
        <v>3336</v>
      </c>
      <c r="B11" s="11" t="s">
        <v>899</v>
      </c>
      <c r="C11" s="11" t="s">
        <v>3292</v>
      </c>
      <c r="D11" s="12" t="s">
        <v>33</v>
      </c>
      <c r="E11" s="11" t="s">
        <v>1532</v>
      </c>
      <c r="F11" s="11" t="s">
        <v>3340</v>
      </c>
      <c r="G11" s="11" t="s">
        <v>3341</v>
      </c>
      <c r="H11" s="11" t="s">
        <v>3343</v>
      </c>
      <c r="I11" s="12" t="s">
        <v>28</v>
      </c>
      <c r="J11" s="12" t="s">
        <v>103</v>
      </c>
      <c r="K11" s="12">
        <v>20.0</v>
      </c>
      <c r="L11" s="15" t="s">
        <v>47</v>
      </c>
      <c r="M11" s="17"/>
      <c r="N11" s="17"/>
    </row>
    <row r="12" ht="14.25" customHeight="1">
      <c r="A12" s="19" t="s">
        <v>3345</v>
      </c>
      <c r="B12" s="21" t="s">
        <v>899</v>
      </c>
      <c r="C12" s="21" t="s">
        <v>3292</v>
      </c>
      <c r="D12" s="19" t="s">
        <v>33</v>
      </c>
      <c r="E12" s="21" t="s">
        <v>1532</v>
      </c>
      <c r="F12" s="21" t="s">
        <v>3346</v>
      </c>
      <c r="G12" s="21" t="s">
        <v>3347</v>
      </c>
      <c r="H12" s="21" t="s">
        <v>3348</v>
      </c>
      <c r="I12" s="19" t="s">
        <v>28</v>
      </c>
      <c r="J12" s="19" t="s">
        <v>103</v>
      </c>
      <c r="K12" s="19">
        <v>25.0</v>
      </c>
      <c r="L12" s="15" t="s">
        <v>47</v>
      </c>
      <c r="M12" s="17"/>
      <c r="N12" s="17"/>
    </row>
    <row r="13" ht="14.25" customHeight="1">
      <c r="A13" s="12" t="s">
        <v>3353</v>
      </c>
      <c r="B13" s="11" t="s">
        <v>899</v>
      </c>
      <c r="C13" s="11" t="s">
        <v>3292</v>
      </c>
      <c r="D13" s="12" t="s">
        <v>33</v>
      </c>
      <c r="E13" s="11" t="s">
        <v>1532</v>
      </c>
      <c r="F13" s="11" t="s">
        <v>3354</v>
      </c>
      <c r="G13" s="11" t="s">
        <v>3356</v>
      </c>
      <c r="H13" s="11" t="s">
        <v>3357</v>
      </c>
      <c r="I13" s="12" t="s">
        <v>28</v>
      </c>
      <c r="J13" s="12" t="s">
        <v>103</v>
      </c>
      <c r="K13" s="12">
        <v>25.0</v>
      </c>
      <c r="L13" s="15" t="s">
        <v>47</v>
      </c>
      <c r="M13" s="17"/>
      <c r="N13" s="17"/>
    </row>
    <row r="14" ht="14.25" customHeight="1">
      <c r="A14" s="19" t="s">
        <v>3361</v>
      </c>
      <c r="B14" s="21" t="s">
        <v>899</v>
      </c>
      <c r="C14" s="21" t="s">
        <v>3292</v>
      </c>
      <c r="D14" s="19" t="s">
        <v>33</v>
      </c>
      <c r="E14" s="21" t="s">
        <v>1532</v>
      </c>
      <c r="F14" s="21" t="s">
        <v>3363</v>
      </c>
      <c r="G14" s="21" t="s">
        <v>3364</v>
      </c>
      <c r="H14" s="21" t="s">
        <v>3365</v>
      </c>
      <c r="I14" s="19" t="s">
        <v>29</v>
      </c>
      <c r="J14" s="19" t="s">
        <v>103</v>
      </c>
      <c r="K14" s="19">
        <v>20.0</v>
      </c>
      <c r="L14" s="15" t="s">
        <v>47</v>
      </c>
      <c r="M14" s="17"/>
      <c r="N14" s="17"/>
    </row>
    <row r="15" ht="14.25" customHeight="1">
      <c r="A15" s="12" t="s">
        <v>3368</v>
      </c>
      <c r="B15" s="11" t="s">
        <v>899</v>
      </c>
      <c r="C15" s="11" t="s">
        <v>3292</v>
      </c>
      <c r="D15" s="12" t="s">
        <v>33</v>
      </c>
      <c r="E15" s="11" t="s">
        <v>3373</v>
      </c>
      <c r="F15" s="11" t="s">
        <v>3374</v>
      </c>
      <c r="G15" s="11" t="s">
        <v>3375</v>
      </c>
      <c r="H15" s="11" t="s">
        <v>3376</v>
      </c>
      <c r="I15" s="12" t="s">
        <v>28</v>
      </c>
      <c r="J15" s="12" t="s">
        <v>103</v>
      </c>
      <c r="K15" s="12">
        <v>30.0</v>
      </c>
      <c r="L15" s="15" t="s">
        <v>47</v>
      </c>
      <c r="M15" s="17"/>
      <c r="N15" s="17"/>
    </row>
    <row r="16" ht="14.25" customHeight="1">
      <c r="A16" s="19" t="s">
        <v>3385</v>
      </c>
      <c r="B16" s="21" t="s">
        <v>899</v>
      </c>
      <c r="C16" s="21" t="s">
        <v>3292</v>
      </c>
      <c r="D16" s="19" t="s">
        <v>33</v>
      </c>
      <c r="E16" s="21" t="s">
        <v>3373</v>
      </c>
      <c r="F16" s="21" t="s">
        <v>3388</v>
      </c>
      <c r="G16" s="21" t="s">
        <v>3390</v>
      </c>
      <c r="H16" s="21" t="s">
        <v>3391</v>
      </c>
      <c r="I16" s="19" t="s">
        <v>29</v>
      </c>
      <c r="J16" s="19" t="s">
        <v>75</v>
      </c>
      <c r="K16" s="19">
        <v>25.0</v>
      </c>
      <c r="L16" s="15" t="s">
        <v>47</v>
      </c>
      <c r="M16" s="17"/>
      <c r="N16" s="17"/>
    </row>
    <row r="17" ht="14.25" customHeight="1">
      <c r="A17" s="12" t="s">
        <v>3396</v>
      </c>
      <c r="B17" s="11" t="s">
        <v>899</v>
      </c>
      <c r="C17" s="11" t="s">
        <v>3292</v>
      </c>
      <c r="D17" s="12" t="s">
        <v>33</v>
      </c>
      <c r="E17" s="11" t="s">
        <v>3398</v>
      </c>
      <c r="F17" s="11" t="s">
        <v>3399</v>
      </c>
      <c r="G17" s="11" t="s">
        <v>3401</v>
      </c>
      <c r="H17" s="11" t="s">
        <v>3403</v>
      </c>
      <c r="I17" s="12" t="s">
        <v>28</v>
      </c>
      <c r="J17" s="12" t="s">
        <v>75</v>
      </c>
      <c r="K17" s="12">
        <v>40.0</v>
      </c>
      <c r="L17" s="15" t="s">
        <v>47</v>
      </c>
      <c r="M17" s="17"/>
      <c r="N17" s="17"/>
    </row>
    <row r="18" ht="14.25" customHeight="1">
      <c r="A18" s="19" t="s">
        <v>3407</v>
      </c>
      <c r="B18" s="21" t="s">
        <v>899</v>
      </c>
      <c r="C18" s="21" t="s">
        <v>3292</v>
      </c>
      <c r="D18" s="19" t="s">
        <v>33</v>
      </c>
      <c r="E18" s="21" t="s">
        <v>1532</v>
      </c>
      <c r="F18" s="21" t="s">
        <v>3409</v>
      </c>
      <c r="G18" s="21" t="s">
        <v>3411</v>
      </c>
      <c r="H18" s="21" t="s">
        <v>3414</v>
      </c>
      <c r="I18" s="19" t="s">
        <v>28</v>
      </c>
      <c r="J18" s="19" t="s">
        <v>75</v>
      </c>
      <c r="K18" s="19">
        <v>35.0</v>
      </c>
      <c r="L18" s="15" t="s">
        <v>47</v>
      </c>
      <c r="M18" s="17"/>
      <c r="N18" s="17"/>
    </row>
    <row r="19" ht="14.25" customHeight="1">
      <c r="A19" s="12" t="s">
        <v>3420</v>
      </c>
      <c r="B19" s="11" t="s">
        <v>899</v>
      </c>
      <c r="C19" s="11" t="s">
        <v>3292</v>
      </c>
      <c r="D19" s="12" t="s">
        <v>33</v>
      </c>
      <c r="E19" s="11" t="s">
        <v>1532</v>
      </c>
      <c r="F19" s="11" t="s">
        <v>3423</v>
      </c>
      <c r="G19" s="11" t="s">
        <v>3424</v>
      </c>
      <c r="H19" s="11" t="s">
        <v>3427</v>
      </c>
      <c r="I19" s="12" t="s">
        <v>29</v>
      </c>
      <c r="J19" s="12" t="s">
        <v>75</v>
      </c>
      <c r="K19" s="12">
        <v>25.0</v>
      </c>
      <c r="L19" s="15" t="s">
        <v>47</v>
      </c>
      <c r="M19" s="17"/>
      <c r="N19" s="17"/>
    </row>
    <row r="20" ht="14.25" customHeight="1">
      <c r="A20" s="19" t="s">
        <v>3434</v>
      </c>
      <c r="B20" s="21" t="s">
        <v>899</v>
      </c>
      <c r="C20" s="21" t="s">
        <v>1729</v>
      </c>
      <c r="D20" s="19" t="s">
        <v>33</v>
      </c>
      <c r="E20" s="21" t="s">
        <v>3438</v>
      </c>
      <c r="F20" s="21" t="s">
        <v>3441</v>
      </c>
      <c r="G20" s="21" t="s">
        <v>3444</v>
      </c>
      <c r="H20" s="21" t="s">
        <v>3446</v>
      </c>
      <c r="I20" s="19" t="s">
        <v>28</v>
      </c>
      <c r="J20" s="19" t="s">
        <v>352</v>
      </c>
      <c r="K20" s="19">
        <v>40.0</v>
      </c>
      <c r="L20" s="15" t="s">
        <v>47</v>
      </c>
      <c r="M20" s="17"/>
      <c r="N20" s="17"/>
    </row>
    <row r="21" ht="14.25" customHeight="1">
      <c r="A21" s="12" t="s">
        <v>3454</v>
      </c>
      <c r="B21" s="11" t="s">
        <v>899</v>
      </c>
      <c r="C21" s="11" t="s">
        <v>1729</v>
      </c>
      <c r="D21" s="12" t="s">
        <v>33</v>
      </c>
      <c r="E21" s="11" t="s">
        <v>3438</v>
      </c>
      <c r="F21" s="11" t="s">
        <v>3459</v>
      </c>
      <c r="G21" s="11" t="s">
        <v>3461</v>
      </c>
      <c r="H21" s="11" t="s">
        <v>3462</v>
      </c>
      <c r="I21" s="12" t="s">
        <v>28</v>
      </c>
      <c r="J21" s="12" t="s">
        <v>352</v>
      </c>
      <c r="K21" s="12">
        <v>45.0</v>
      </c>
      <c r="L21" s="15" t="s">
        <v>47</v>
      </c>
      <c r="M21" s="17"/>
      <c r="N21" s="17"/>
    </row>
    <row r="22" ht="14.25" customHeight="1">
      <c r="A22" s="19" t="s">
        <v>3469</v>
      </c>
      <c r="B22" s="21" t="s">
        <v>899</v>
      </c>
      <c r="C22" s="21" t="s">
        <v>1729</v>
      </c>
      <c r="D22" s="19" t="s">
        <v>33</v>
      </c>
      <c r="E22" s="21" t="s">
        <v>3473</v>
      </c>
      <c r="F22" s="21" t="s">
        <v>3474</v>
      </c>
      <c r="G22" s="21" t="s">
        <v>3476</v>
      </c>
      <c r="H22" s="21" t="s">
        <v>3478</v>
      </c>
      <c r="I22" s="19" t="s">
        <v>28</v>
      </c>
      <c r="J22" s="19" t="s">
        <v>352</v>
      </c>
      <c r="K22" s="19">
        <v>50.0</v>
      </c>
      <c r="L22" s="15" t="s">
        <v>47</v>
      </c>
      <c r="M22" s="17"/>
      <c r="N22" s="17"/>
    </row>
    <row r="23" ht="14.25" customHeight="1">
      <c r="A23" s="12" t="s">
        <v>3483</v>
      </c>
      <c r="B23" s="11" t="s">
        <v>899</v>
      </c>
      <c r="C23" s="11" t="s">
        <v>1729</v>
      </c>
      <c r="D23" s="12" t="s">
        <v>33</v>
      </c>
      <c r="E23" s="11" t="s">
        <v>3487</v>
      </c>
      <c r="F23" s="11" t="s">
        <v>3488</v>
      </c>
      <c r="G23" s="11" t="s">
        <v>3491</v>
      </c>
      <c r="H23" s="11" t="s">
        <v>3493</v>
      </c>
      <c r="I23" s="12" t="s">
        <v>28</v>
      </c>
      <c r="J23" s="12" t="s">
        <v>352</v>
      </c>
      <c r="K23" s="12">
        <v>45.0</v>
      </c>
      <c r="L23" s="15" t="s">
        <v>47</v>
      </c>
      <c r="M23" s="17"/>
      <c r="N23" s="17"/>
    </row>
    <row r="24" ht="14.25" customHeight="1">
      <c r="A24" s="19" t="s">
        <v>3500</v>
      </c>
      <c r="B24" s="21" t="s">
        <v>899</v>
      </c>
      <c r="C24" s="21" t="s">
        <v>1729</v>
      </c>
      <c r="D24" s="19" t="s">
        <v>33</v>
      </c>
      <c r="E24" s="21" t="s">
        <v>3501</v>
      </c>
      <c r="F24" s="21" t="s">
        <v>3502</v>
      </c>
      <c r="G24" s="21" t="s">
        <v>3503</v>
      </c>
      <c r="H24" s="21" t="s">
        <v>3505</v>
      </c>
      <c r="I24" s="19" t="s">
        <v>28</v>
      </c>
      <c r="J24" s="19" t="s">
        <v>352</v>
      </c>
      <c r="K24" s="19">
        <v>40.0</v>
      </c>
      <c r="L24" s="15" t="s">
        <v>47</v>
      </c>
      <c r="M24" s="17"/>
      <c r="N24" s="17"/>
    </row>
    <row r="25" ht="14.25" customHeight="1">
      <c r="A25" s="12" t="s">
        <v>3511</v>
      </c>
      <c r="B25" s="11" t="s">
        <v>899</v>
      </c>
      <c r="C25" s="11" t="s">
        <v>1729</v>
      </c>
      <c r="D25" s="12" t="s">
        <v>33</v>
      </c>
      <c r="E25" s="11" t="s">
        <v>3512</v>
      </c>
      <c r="F25" s="11" t="s">
        <v>3513</v>
      </c>
      <c r="G25" s="11" t="s">
        <v>3514</v>
      </c>
      <c r="H25" s="11" t="s">
        <v>3515</v>
      </c>
      <c r="I25" s="12" t="s">
        <v>29</v>
      </c>
      <c r="J25" s="12" t="s">
        <v>103</v>
      </c>
      <c r="K25" s="12">
        <v>35.0</v>
      </c>
      <c r="L25" s="15" t="s">
        <v>47</v>
      </c>
      <c r="M25" s="17"/>
      <c r="N25" s="17"/>
    </row>
    <row r="26" ht="14.25" customHeight="1">
      <c r="A26" s="19" t="s">
        <v>3519</v>
      </c>
      <c r="B26" s="21" t="s">
        <v>899</v>
      </c>
      <c r="C26" s="21" t="s">
        <v>1729</v>
      </c>
      <c r="D26" s="19" t="s">
        <v>33</v>
      </c>
      <c r="E26" s="21" t="s">
        <v>3522</v>
      </c>
      <c r="F26" s="21" t="s">
        <v>3523</v>
      </c>
      <c r="G26" s="21" t="s">
        <v>3524</v>
      </c>
      <c r="H26" s="21" t="s">
        <v>3525</v>
      </c>
      <c r="I26" s="19" t="s">
        <v>28</v>
      </c>
      <c r="J26" s="19" t="s">
        <v>103</v>
      </c>
      <c r="K26" s="19">
        <v>40.0</v>
      </c>
      <c r="L26" s="15" t="s">
        <v>47</v>
      </c>
      <c r="M26" s="17"/>
      <c r="N26" s="17"/>
    </row>
    <row r="27" ht="14.25" customHeight="1">
      <c r="A27" s="12" t="s">
        <v>3527</v>
      </c>
      <c r="B27" s="11" t="s">
        <v>899</v>
      </c>
      <c r="C27" s="11" t="s">
        <v>1729</v>
      </c>
      <c r="D27" s="12" t="s">
        <v>33</v>
      </c>
      <c r="E27" s="11" t="s">
        <v>3529</v>
      </c>
      <c r="F27" s="11" t="s">
        <v>3531</v>
      </c>
      <c r="G27" s="11" t="s">
        <v>3533</v>
      </c>
      <c r="H27" s="11" t="s">
        <v>3535</v>
      </c>
      <c r="I27" s="12" t="s">
        <v>28</v>
      </c>
      <c r="J27" s="12" t="s">
        <v>352</v>
      </c>
      <c r="K27" s="12">
        <v>45.0</v>
      </c>
      <c r="L27" s="15" t="s">
        <v>47</v>
      </c>
      <c r="M27" s="17"/>
      <c r="N27" s="17"/>
    </row>
    <row r="28" ht="14.25" customHeight="1">
      <c r="A28" s="19" t="s">
        <v>3536</v>
      </c>
      <c r="B28" s="21" t="s">
        <v>899</v>
      </c>
      <c r="C28" s="21" t="s">
        <v>3537</v>
      </c>
      <c r="D28" s="19" t="s">
        <v>33</v>
      </c>
      <c r="E28" s="21" t="s">
        <v>1532</v>
      </c>
      <c r="F28" s="21" t="s">
        <v>3539</v>
      </c>
      <c r="G28" s="21" t="s">
        <v>3540</v>
      </c>
      <c r="H28" s="21" t="s">
        <v>3541</v>
      </c>
      <c r="I28" s="19" t="s">
        <v>28</v>
      </c>
      <c r="J28" s="19" t="s">
        <v>352</v>
      </c>
      <c r="K28" s="19">
        <v>35.0</v>
      </c>
      <c r="L28" s="15" t="s">
        <v>47</v>
      </c>
      <c r="M28" s="17"/>
      <c r="N28" s="17"/>
    </row>
    <row r="29" ht="14.25" customHeight="1">
      <c r="A29" s="12" t="s">
        <v>3545</v>
      </c>
      <c r="B29" s="11" t="s">
        <v>899</v>
      </c>
      <c r="C29" s="11" t="s">
        <v>3546</v>
      </c>
      <c r="D29" s="12" t="s">
        <v>33</v>
      </c>
      <c r="E29" s="11" t="s">
        <v>3547</v>
      </c>
      <c r="F29" s="11" t="s">
        <v>3548</v>
      </c>
      <c r="G29" s="11" t="s">
        <v>3550</v>
      </c>
      <c r="H29" s="11" t="s">
        <v>3551</v>
      </c>
      <c r="I29" s="12" t="s">
        <v>28</v>
      </c>
      <c r="J29" s="12" t="s">
        <v>103</v>
      </c>
      <c r="K29" s="12">
        <v>45.0</v>
      </c>
      <c r="L29" s="15" t="s">
        <v>47</v>
      </c>
      <c r="M29" s="17"/>
      <c r="N29" s="17"/>
    </row>
    <row r="30" ht="14.25" customHeight="1">
      <c r="A30" s="19" t="s">
        <v>3556</v>
      </c>
      <c r="B30" s="21" t="s">
        <v>899</v>
      </c>
      <c r="C30" s="21" t="s">
        <v>3557</v>
      </c>
      <c r="D30" s="19" t="s">
        <v>33</v>
      </c>
      <c r="E30" s="21" t="s">
        <v>3558</v>
      </c>
      <c r="F30" s="21" t="s">
        <v>3559</v>
      </c>
      <c r="G30" s="21" t="s">
        <v>3561</v>
      </c>
      <c r="H30" s="21" t="s">
        <v>3562</v>
      </c>
      <c r="I30" s="19" t="s">
        <v>29</v>
      </c>
      <c r="J30" s="19" t="s">
        <v>124</v>
      </c>
      <c r="K30" s="19">
        <v>60.0</v>
      </c>
      <c r="L30" s="15" t="s">
        <v>47</v>
      </c>
      <c r="M30" s="17"/>
      <c r="N30" s="17"/>
    </row>
    <row r="31" ht="14.25" customHeight="1">
      <c r="A31" s="12" t="s">
        <v>3568</v>
      </c>
      <c r="B31" s="11" t="s">
        <v>899</v>
      </c>
      <c r="C31" s="11" t="s">
        <v>3569</v>
      </c>
      <c r="D31" s="12" t="s">
        <v>33</v>
      </c>
      <c r="E31" s="11" t="s">
        <v>3570</v>
      </c>
      <c r="F31" s="11" t="s">
        <v>3571</v>
      </c>
      <c r="G31" s="11" t="s">
        <v>3573</v>
      </c>
      <c r="H31" s="11" t="s">
        <v>3574</v>
      </c>
      <c r="I31" s="12" t="s">
        <v>28</v>
      </c>
      <c r="J31" s="12" t="s">
        <v>102</v>
      </c>
      <c r="K31" s="12">
        <v>60.0</v>
      </c>
      <c r="L31" s="15" t="s">
        <v>47</v>
      </c>
      <c r="M31" s="17"/>
      <c r="N31" s="17"/>
    </row>
    <row r="32" ht="14.25" customHeight="1"/>
    <row r="33" ht="14.25" customHeight="1">
      <c r="J33" s="3" t="s">
        <v>789</v>
      </c>
      <c r="K33" s="27">
        <f>SUM(K3:K31)</f>
        <v>985</v>
      </c>
    </row>
    <row r="34" ht="14.25" customHeight="1">
      <c r="J34" s="3" t="s">
        <v>808</v>
      </c>
      <c r="K34" s="28">
        <f>K33/60</f>
        <v>16.41666667</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31"/>
  <mergeCells count="1">
    <mergeCell ref="A1:N1"/>
  </mergeCells>
  <conditionalFormatting sqref="L3:L31">
    <cfRule type="cellIs" dxfId="0" priority="1" operator="equal">
      <formula>"Pass"</formula>
    </cfRule>
  </conditionalFormatting>
  <conditionalFormatting sqref="L3:L31">
    <cfRule type="cellIs" dxfId="1" priority="2" operator="equal">
      <formula>"Fail"</formula>
    </cfRule>
  </conditionalFormatting>
  <conditionalFormatting sqref="L3:L31">
    <cfRule type="cellIs" dxfId="2" priority="3" operator="equal">
      <formula>"Blocked"</formula>
    </cfRule>
  </conditionalFormatting>
  <dataValidations>
    <dataValidation type="list" allowBlank="1" sqref="L3:L31">
      <formula1>"Not Run,Pass,Fail,Blocked,N-A"</formula1>
    </dataValidation>
  </dataValidation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3342</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3372</v>
      </c>
      <c r="B3" s="11" t="s">
        <v>900</v>
      </c>
      <c r="C3" s="11" t="s">
        <v>3377</v>
      </c>
      <c r="D3" s="12" t="s">
        <v>31</v>
      </c>
      <c r="E3" s="11" t="s">
        <v>3379</v>
      </c>
      <c r="F3" s="11" t="s">
        <v>3380</v>
      </c>
      <c r="G3" s="11" t="s">
        <v>3381</v>
      </c>
      <c r="H3" s="11" t="s">
        <v>3383</v>
      </c>
      <c r="I3" s="12" t="s">
        <v>28</v>
      </c>
      <c r="J3" s="12" t="s">
        <v>75</v>
      </c>
      <c r="K3" s="12">
        <v>20.0</v>
      </c>
      <c r="L3" s="15" t="s">
        <v>47</v>
      </c>
      <c r="M3" s="17"/>
      <c r="N3" s="17"/>
    </row>
    <row r="4" ht="14.25" customHeight="1">
      <c r="A4" s="19" t="s">
        <v>3400</v>
      </c>
      <c r="B4" s="21" t="s">
        <v>900</v>
      </c>
      <c r="C4" s="21" t="s">
        <v>3377</v>
      </c>
      <c r="D4" s="19" t="s">
        <v>31</v>
      </c>
      <c r="E4" s="21" t="s">
        <v>3410</v>
      </c>
      <c r="F4" s="21" t="s">
        <v>3412</v>
      </c>
      <c r="G4" s="21" t="s">
        <v>3415</v>
      </c>
      <c r="H4" s="21" t="s">
        <v>3417</v>
      </c>
      <c r="I4" s="19" t="s">
        <v>28</v>
      </c>
      <c r="J4" s="19" t="s">
        <v>75</v>
      </c>
      <c r="K4" s="19">
        <v>25.0</v>
      </c>
      <c r="L4" s="15" t="s">
        <v>47</v>
      </c>
      <c r="M4" s="17"/>
      <c r="N4" s="17"/>
    </row>
    <row r="5" ht="14.25" customHeight="1">
      <c r="A5" s="12" t="s">
        <v>3422</v>
      </c>
      <c r="B5" s="11" t="s">
        <v>900</v>
      </c>
      <c r="C5" s="11" t="s">
        <v>3377</v>
      </c>
      <c r="D5" s="12" t="s">
        <v>31</v>
      </c>
      <c r="E5" s="11" t="s">
        <v>3379</v>
      </c>
      <c r="F5" s="11" t="s">
        <v>3429</v>
      </c>
      <c r="G5" s="11" t="s">
        <v>3431</v>
      </c>
      <c r="H5" s="11" t="s">
        <v>3432</v>
      </c>
      <c r="I5" s="12" t="s">
        <v>28</v>
      </c>
      <c r="J5" s="12" t="s">
        <v>103</v>
      </c>
      <c r="K5" s="12">
        <v>25.0</v>
      </c>
      <c r="L5" s="15" t="s">
        <v>47</v>
      </c>
      <c r="M5" s="17"/>
      <c r="N5" s="17"/>
    </row>
    <row r="6" ht="14.25" customHeight="1">
      <c r="A6" s="19" t="s">
        <v>3435</v>
      </c>
      <c r="B6" s="21" t="s">
        <v>900</v>
      </c>
      <c r="C6" s="21" t="s">
        <v>3377</v>
      </c>
      <c r="D6" s="19" t="s">
        <v>31</v>
      </c>
      <c r="E6" s="21" t="s">
        <v>3440</v>
      </c>
      <c r="F6" s="21" t="s">
        <v>3443</v>
      </c>
      <c r="G6" s="21" t="s">
        <v>3445</v>
      </c>
      <c r="H6" s="21" t="s">
        <v>3447</v>
      </c>
      <c r="I6" s="19" t="s">
        <v>28</v>
      </c>
      <c r="J6" s="19" t="s">
        <v>75</v>
      </c>
      <c r="K6" s="19">
        <v>20.0</v>
      </c>
      <c r="L6" s="15" t="s">
        <v>47</v>
      </c>
      <c r="M6" s="17"/>
      <c r="N6" s="17"/>
    </row>
    <row r="7" ht="14.25" customHeight="1">
      <c r="A7" s="12" t="s">
        <v>3451</v>
      </c>
      <c r="B7" s="11" t="s">
        <v>900</v>
      </c>
      <c r="C7" s="11" t="s">
        <v>3377</v>
      </c>
      <c r="D7" s="12" t="s">
        <v>31</v>
      </c>
      <c r="E7" s="11" t="s">
        <v>3455</v>
      </c>
      <c r="F7" s="11" t="s">
        <v>3456</v>
      </c>
      <c r="G7" s="11" t="s">
        <v>3457</v>
      </c>
      <c r="H7" s="11" t="s">
        <v>3458</v>
      </c>
      <c r="I7" s="12" t="s">
        <v>29</v>
      </c>
      <c r="J7" s="12" t="s">
        <v>75</v>
      </c>
      <c r="K7" s="12">
        <v>15.0</v>
      </c>
      <c r="L7" s="15" t="s">
        <v>47</v>
      </c>
      <c r="M7" s="17"/>
      <c r="N7" s="17"/>
    </row>
    <row r="8" ht="14.25" customHeight="1">
      <c r="A8" s="19" t="s">
        <v>3464</v>
      </c>
      <c r="B8" s="21" t="s">
        <v>900</v>
      </c>
      <c r="C8" s="21" t="s">
        <v>3377</v>
      </c>
      <c r="D8" s="19" t="s">
        <v>31</v>
      </c>
      <c r="E8" s="21" t="s">
        <v>3410</v>
      </c>
      <c r="F8" s="21" t="s">
        <v>3468</v>
      </c>
      <c r="G8" s="21" t="s">
        <v>3470</v>
      </c>
      <c r="H8" s="21" t="s">
        <v>3472</v>
      </c>
      <c r="I8" s="19" t="s">
        <v>29</v>
      </c>
      <c r="J8" s="19" t="s">
        <v>75</v>
      </c>
      <c r="K8" s="19">
        <v>15.0</v>
      </c>
      <c r="L8" s="15" t="s">
        <v>47</v>
      </c>
      <c r="M8" s="17"/>
      <c r="N8" s="17"/>
    </row>
    <row r="9" ht="14.25" customHeight="1">
      <c r="A9" s="12" t="s">
        <v>3481</v>
      </c>
      <c r="B9" s="11" t="s">
        <v>900</v>
      </c>
      <c r="C9" s="11" t="s">
        <v>3377</v>
      </c>
      <c r="D9" s="12" t="s">
        <v>31</v>
      </c>
      <c r="E9" s="11" t="s">
        <v>3410</v>
      </c>
      <c r="F9" s="11" t="s">
        <v>3482</v>
      </c>
      <c r="G9" s="11" t="s">
        <v>3484</v>
      </c>
      <c r="H9" s="11" t="s">
        <v>3486</v>
      </c>
      <c r="I9" s="12" t="s">
        <v>29</v>
      </c>
      <c r="J9" s="12" t="s">
        <v>75</v>
      </c>
      <c r="K9" s="12">
        <v>20.0</v>
      </c>
      <c r="L9" s="15" t="s">
        <v>47</v>
      </c>
      <c r="M9" s="17"/>
      <c r="N9" s="17"/>
    </row>
    <row r="10" ht="14.25" customHeight="1">
      <c r="A10" s="19" t="s">
        <v>3490</v>
      </c>
      <c r="B10" s="21" t="s">
        <v>900</v>
      </c>
      <c r="C10" s="21" t="s">
        <v>3377</v>
      </c>
      <c r="D10" s="19" t="s">
        <v>31</v>
      </c>
      <c r="E10" s="21" t="s">
        <v>3496</v>
      </c>
      <c r="F10" s="21" t="s">
        <v>3497</v>
      </c>
      <c r="G10" s="21" t="s">
        <v>3498</v>
      </c>
      <c r="H10" s="21" t="s">
        <v>3499</v>
      </c>
      <c r="I10" s="19" t="s">
        <v>30</v>
      </c>
      <c r="J10" s="19" t="s">
        <v>197</v>
      </c>
      <c r="K10" s="19">
        <v>15.0</v>
      </c>
      <c r="L10" s="15" t="s">
        <v>47</v>
      </c>
      <c r="M10" s="17"/>
      <c r="N10" s="17"/>
    </row>
    <row r="11" ht="14.25" customHeight="1">
      <c r="A11" s="12" t="s">
        <v>3504</v>
      </c>
      <c r="B11" s="11" t="s">
        <v>900</v>
      </c>
      <c r="C11" s="11" t="s">
        <v>3506</v>
      </c>
      <c r="D11" s="12" t="s">
        <v>31</v>
      </c>
      <c r="E11" s="11" t="s">
        <v>3507</v>
      </c>
      <c r="F11" s="11" t="s">
        <v>3508</v>
      </c>
      <c r="G11" s="11" t="s">
        <v>3509</v>
      </c>
      <c r="H11" s="11" t="s">
        <v>3510</v>
      </c>
      <c r="I11" s="12" t="s">
        <v>28</v>
      </c>
      <c r="J11" s="12" t="s">
        <v>75</v>
      </c>
      <c r="K11" s="12">
        <v>30.0</v>
      </c>
      <c r="L11" s="15" t="s">
        <v>47</v>
      </c>
      <c r="M11" s="17"/>
      <c r="N11" s="17"/>
    </row>
    <row r="12" ht="14.25" customHeight="1">
      <c r="A12" s="19" t="s">
        <v>3516</v>
      </c>
      <c r="B12" s="21" t="s">
        <v>900</v>
      </c>
      <c r="C12" s="21" t="s">
        <v>3506</v>
      </c>
      <c r="D12" s="19" t="s">
        <v>31</v>
      </c>
      <c r="E12" s="21" t="s">
        <v>3517</v>
      </c>
      <c r="F12" s="21" t="s">
        <v>3518</v>
      </c>
      <c r="G12" s="21" t="s">
        <v>3520</v>
      </c>
      <c r="H12" s="21" t="s">
        <v>3521</v>
      </c>
      <c r="I12" s="19" t="s">
        <v>28</v>
      </c>
      <c r="J12" s="19" t="s">
        <v>75</v>
      </c>
      <c r="K12" s="19">
        <v>30.0</v>
      </c>
      <c r="L12" s="15" t="s">
        <v>47</v>
      </c>
      <c r="M12" s="17"/>
      <c r="N12" s="17"/>
    </row>
    <row r="13" ht="14.25" customHeight="1">
      <c r="A13" s="12" t="s">
        <v>3526</v>
      </c>
      <c r="B13" s="11" t="s">
        <v>900</v>
      </c>
      <c r="C13" s="11" t="s">
        <v>3506</v>
      </c>
      <c r="D13" s="12" t="s">
        <v>31</v>
      </c>
      <c r="E13" s="11" t="s">
        <v>3528</v>
      </c>
      <c r="F13" s="11" t="s">
        <v>3530</v>
      </c>
      <c r="G13" s="11" t="s">
        <v>3532</v>
      </c>
      <c r="H13" s="11" t="s">
        <v>3534</v>
      </c>
      <c r="I13" s="12" t="s">
        <v>30</v>
      </c>
      <c r="J13" s="12" t="s">
        <v>197</v>
      </c>
      <c r="K13" s="12">
        <v>15.0</v>
      </c>
      <c r="L13" s="15" t="s">
        <v>47</v>
      </c>
      <c r="M13" s="17"/>
      <c r="N13" s="17"/>
    </row>
    <row r="14" ht="14.25" customHeight="1">
      <c r="A14" s="19" t="s">
        <v>3538</v>
      </c>
      <c r="B14" s="21" t="s">
        <v>900</v>
      </c>
      <c r="C14" s="21" t="s">
        <v>3506</v>
      </c>
      <c r="D14" s="19" t="s">
        <v>33</v>
      </c>
      <c r="E14" s="21" t="s">
        <v>3542</v>
      </c>
      <c r="F14" s="21" t="s">
        <v>2799</v>
      </c>
      <c r="G14" s="21" t="s">
        <v>3543</v>
      </c>
      <c r="H14" s="21" t="s">
        <v>3544</v>
      </c>
      <c r="I14" s="19" t="s">
        <v>28</v>
      </c>
      <c r="J14" s="19" t="s">
        <v>75</v>
      </c>
      <c r="K14" s="19">
        <v>25.0</v>
      </c>
      <c r="L14" s="15" t="s">
        <v>47</v>
      </c>
      <c r="M14" s="17"/>
      <c r="N14" s="17"/>
    </row>
    <row r="15" ht="14.25" customHeight="1">
      <c r="A15" s="12" t="s">
        <v>3549</v>
      </c>
      <c r="B15" s="11" t="s">
        <v>900</v>
      </c>
      <c r="C15" s="11" t="s">
        <v>3506</v>
      </c>
      <c r="D15" s="12" t="s">
        <v>31</v>
      </c>
      <c r="E15" s="11" t="s">
        <v>3552</v>
      </c>
      <c r="F15" s="11" t="s">
        <v>3553</v>
      </c>
      <c r="G15" s="11" t="s">
        <v>3554</v>
      </c>
      <c r="H15" s="11" t="s">
        <v>3555</v>
      </c>
      <c r="I15" s="12" t="s">
        <v>28</v>
      </c>
      <c r="J15" s="12" t="s">
        <v>75</v>
      </c>
      <c r="K15" s="12">
        <v>25.0</v>
      </c>
      <c r="L15" s="15" t="s">
        <v>47</v>
      </c>
      <c r="M15" s="17"/>
      <c r="N15" s="17"/>
    </row>
    <row r="16" ht="14.25" customHeight="1">
      <c r="A16" s="19" t="s">
        <v>3560</v>
      </c>
      <c r="B16" s="21" t="s">
        <v>900</v>
      </c>
      <c r="C16" s="21" t="s">
        <v>3563</v>
      </c>
      <c r="D16" s="19" t="s">
        <v>183</v>
      </c>
      <c r="E16" s="21" t="s">
        <v>3564</v>
      </c>
      <c r="F16" s="21" t="s">
        <v>3565</v>
      </c>
      <c r="G16" s="21" t="s">
        <v>3566</v>
      </c>
      <c r="H16" s="21" t="s">
        <v>3567</v>
      </c>
      <c r="I16" s="19" t="s">
        <v>28</v>
      </c>
      <c r="J16" s="19" t="s">
        <v>732</v>
      </c>
      <c r="K16" s="19">
        <v>30.0</v>
      </c>
      <c r="L16" s="15" t="s">
        <v>47</v>
      </c>
      <c r="M16" s="17"/>
      <c r="N16" s="17"/>
    </row>
    <row r="17" ht="14.25" customHeight="1">
      <c r="A17" s="12" t="s">
        <v>3572</v>
      </c>
      <c r="B17" s="11" t="s">
        <v>900</v>
      </c>
      <c r="C17" s="11" t="s">
        <v>3563</v>
      </c>
      <c r="D17" s="12" t="s">
        <v>183</v>
      </c>
      <c r="E17" s="11" t="s">
        <v>3575</v>
      </c>
      <c r="F17" s="11" t="s">
        <v>3577</v>
      </c>
      <c r="G17" s="11" t="s">
        <v>3578</v>
      </c>
      <c r="H17" s="11" t="s">
        <v>3579</v>
      </c>
      <c r="I17" s="12" t="s">
        <v>28</v>
      </c>
      <c r="J17" s="12" t="s">
        <v>732</v>
      </c>
      <c r="K17" s="12">
        <v>25.0</v>
      </c>
      <c r="L17" s="15" t="s">
        <v>47</v>
      </c>
      <c r="M17" s="17"/>
      <c r="N17" s="17"/>
    </row>
    <row r="18" ht="14.25" customHeight="1">
      <c r="A18" s="19" t="s">
        <v>3580</v>
      </c>
      <c r="B18" s="21" t="s">
        <v>900</v>
      </c>
      <c r="C18" s="21" t="s">
        <v>3581</v>
      </c>
      <c r="D18" s="19" t="s">
        <v>33</v>
      </c>
      <c r="E18" s="21" t="s">
        <v>3582</v>
      </c>
      <c r="F18" s="21" t="s">
        <v>3583</v>
      </c>
      <c r="G18" s="21" t="s">
        <v>3584</v>
      </c>
      <c r="H18" s="21" t="s">
        <v>3585</v>
      </c>
      <c r="I18" s="19" t="s">
        <v>28</v>
      </c>
      <c r="J18" s="19" t="s">
        <v>75</v>
      </c>
      <c r="K18" s="19">
        <v>25.0</v>
      </c>
      <c r="L18" s="15" t="s">
        <v>47</v>
      </c>
      <c r="M18" s="17"/>
      <c r="N18" s="17"/>
    </row>
    <row r="19" ht="14.25" customHeight="1">
      <c r="A19" s="12" t="s">
        <v>3586</v>
      </c>
      <c r="B19" s="11" t="s">
        <v>900</v>
      </c>
      <c r="C19" s="11" t="s">
        <v>3581</v>
      </c>
      <c r="D19" s="12" t="s">
        <v>33</v>
      </c>
      <c r="E19" s="11" t="s">
        <v>1677</v>
      </c>
      <c r="F19" s="11" t="s">
        <v>3587</v>
      </c>
      <c r="G19" s="11" t="s">
        <v>3588</v>
      </c>
      <c r="H19" s="11" t="s">
        <v>3589</v>
      </c>
      <c r="I19" s="12" t="s">
        <v>28</v>
      </c>
      <c r="J19" s="12" t="s">
        <v>75</v>
      </c>
      <c r="K19" s="12">
        <v>30.0</v>
      </c>
      <c r="L19" s="15" t="s">
        <v>47</v>
      </c>
      <c r="M19" s="17"/>
      <c r="N19" s="17"/>
    </row>
    <row r="20" ht="14.25" customHeight="1">
      <c r="A20" s="19" t="s">
        <v>3590</v>
      </c>
      <c r="B20" s="21" t="s">
        <v>900</v>
      </c>
      <c r="C20" s="21" t="s">
        <v>3581</v>
      </c>
      <c r="D20" s="19" t="s">
        <v>33</v>
      </c>
      <c r="E20" s="21" t="s">
        <v>3591</v>
      </c>
      <c r="F20" s="21" t="s">
        <v>3592</v>
      </c>
      <c r="G20" s="21" t="s">
        <v>3593</v>
      </c>
      <c r="H20" s="21" t="s">
        <v>3594</v>
      </c>
      <c r="I20" s="19" t="s">
        <v>28</v>
      </c>
      <c r="J20" s="19" t="s">
        <v>75</v>
      </c>
      <c r="K20" s="19">
        <v>30.0</v>
      </c>
      <c r="L20" s="15" t="s">
        <v>47</v>
      </c>
      <c r="M20" s="17"/>
      <c r="N20" s="17"/>
    </row>
    <row r="21" ht="14.25" customHeight="1">
      <c r="A21" s="12" t="s">
        <v>3595</v>
      </c>
      <c r="B21" s="11" t="s">
        <v>900</v>
      </c>
      <c r="C21" s="11" t="s">
        <v>3581</v>
      </c>
      <c r="D21" s="12" t="s">
        <v>33</v>
      </c>
      <c r="E21" s="11" t="s">
        <v>1648</v>
      </c>
      <c r="F21" s="11" t="s">
        <v>3597</v>
      </c>
      <c r="G21" s="11" t="s">
        <v>3599</v>
      </c>
      <c r="H21" s="11" t="s">
        <v>3600</v>
      </c>
      <c r="I21" s="12" t="s">
        <v>28</v>
      </c>
      <c r="J21" s="12" t="s">
        <v>75</v>
      </c>
      <c r="K21" s="12">
        <v>35.0</v>
      </c>
      <c r="L21" s="15" t="s">
        <v>47</v>
      </c>
      <c r="M21" s="17"/>
      <c r="N21" s="17"/>
    </row>
    <row r="22" ht="14.25" customHeight="1">
      <c r="A22" s="19" t="s">
        <v>3605</v>
      </c>
      <c r="B22" s="21" t="s">
        <v>900</v>
      </c>
      <c r="C22" s="21" t="s">
        <v>3606</v>
      </c>
      <c r="D22" s="19" t="s">
        <v>31</v>
      </c>
      <c r="E22" s="21" t="s">
        <v>3607</v>
      </c>
      <c r="F22" s="21" t="s">
        <v>3608</v>
      </c>
      <c r="G22" s="21" t="s">
        <v>3609</v>
      </c>
      <c r="H22" s="21" t="s">
        <v>3610</v>
      </c>
      <c r="I22" s="19" t="s">
        <v>28</v>
      </c>
      <c r="J22" s="19" t="s">
        <v>75</v>
      </c>
      <c r="K22" s="19">
        <v>20.0</v>
      </c>
      <c r="L22" s="15" t="s">
        <v>47</v>
      </c>
      <c r="M22" s="17"/>
      <c r="N22" s="17"/>
    </row>
    <row r="23" ht="14.25" customHeight="1">
      <c r="A23" s="12" t="s">
        <v>3611</v>
      </c>
      <c r="B23" s="11" t="s">
        <v>900</v>
      </c>
      <c r="C23" s="11" t="s">
        <v>3606</v>
      </c>
      <c r="D23" s="12" t="s">
        <v>31</v>
      </c>
      <c r="E23" s="11" t="s">
        <v>3612</v>
      </c>
      <c r="F23" s="11" t="s">
        <v>3613</v>
      </c>
      <c r="G23" s="11" t="s">
        <v>3615</v>
      </c>
      <c r="H23" s="11" t="s">
        <v>3616</v>
      </c>
      <c r="I23" s="12" t="s">
        <v>28</v>
      </c>
      <c r="J23" s="12" t="s">
        <v>102</v>
      </c>
      <c r="K23" s="12">
        <v>35.0</v>
      </c>
      <c r="L23" s="15" t="s">
        <v>47</v>
      </c>
      <c r="M23" s="17"/>
      <c r="N23" s="17"/>
    </row>
    <row r="24" ht="14.25" customHeight="1">
      <c r="A24" s="19" t="s">
        <v>3620</v>
      </c>
      <c r="B24" s="21" t="s">
        <v>900</v>
      </c>
      <c r="C24" s="21" t="s">
        <v>3606</v>
      </c>
      <c r="D24" s="19" t="s">
        <v>31</v>
      </c>
      <c r="E24" s="21" t="s">
        <v>3622</v>
      </c>
      <c r="F24" s="21" t="s">
        <v>3623</v>
      </c>
      <c r="G24" s="21" t="s">
        <v>3624</v>
      </c>
      <c r="H24" s="21" t="s">
        <v>3625</v>
      </c>
      <c r="I24" s="19" t="s">
        <v>28</v>
      </c>
      <c r="J24" s="19" t="s">
        <v>75</v>
      </c>
      <c r="K24" s="19">
        <v>25.0</v>
      </c>
      <c r="L24" s="15" t="s">
        <v>47</v>
      </c>
      <c r="M24" s="17"/>
      <c r="N24" s="17"/>
    </row>
    <row r="25" ht="14.25" customHeight="1">
      <c r="A25" s="12" t="s">
        <v>3629</v>
      </c>
      <c r="B25" s="11" t="s">
        <v>900</v>
      </c>
      <c r="C25" s="11" t="s">
        <v>3606</v>
      </c>
      <c r="D25" s="12" t="s">
        <v>31</v>
      </c>
      <c r="E25" s="11" t="s">
        <v>3632</v>
      </c>
      <c r="F25" s="11" t="s">
        <v>3633</v>
      </c>
      <c r="G25" s="11" t="s">
        <v>3634</v>
      </c>
      <c r="H25" s="11" t="s">
        <v>3635</v>
      </c>
      <c r="I25" s="12" t="s">
        <v>28</v>
      </c>
      <c r="J25" s="12" t="s">
        <v>75</v>
      </c>
      <c r="K25" s="12">
        <v>25.0</v>
      </c>
      <c r="L25" s="15" t="s">
        <v>47</v>
      </c>
      <c r="M25" s="17"/>
      <c r="N25" s="17"/>
    </row>
    <row r="26" ht="14.25" customHeight="1">
      <c r="A26" s="19" t="s">
        <v>3637</v>
      </c>
      <c r="B26" s="21" t="s">
        <v>900</v>
      </c>
      <c r="C26" s="21" t="s">
        <v>3606</v>
      </c>
      <c r="D26" s="19" t="s">
        <v>31</v>
      </c>
      <c r="E26" s="21" t="s">
        <v>3639</v>
      </c>
      <c r="F26" s="21" t="s">
        <v>3640</v>
      </c>
      <c r="G26" s="21" t="s">
        <v>3641</v>
      </c>
      <c r="H26" s="21" t="s">
        <v>3642</v>
      </c>
      <c r="I26" s="19" t="s">
        <v>28</v>
      </c>
      <c r="J26" s="19" t="s">
        <v>75</v>
      </c>
      <c r="K26" s="19">
        <v>25.0</v>
      </c>
      <c r="L26" s="15" t="s">
        <v>47</v>
      </c>
      <c r="M26" s="17"/>
      <c r="N26" s="17"/>
    </row>
    <row r="27" ht="14.25" customHeight="1">
      <c r="A27" s="12" t="s">
        <v>3646</v>
      </c>
      <c r="B27" s="11" t="s">
        <v>900</v>
      </c>
      <c r="C27" s="11" t="s">
        <v>3606</v>
      </c>
      <c r="D27" s="12" t="s">
        <v>31</v>
      </c>
      <c r="E27" s="11" t="s">
        <v>3649</v>
      </c>
      <c r="F27" s="11" t="s">
        <v>3650</v>
      </c>
      <c r="G27" s="11" t="s">
        <v>3651</v>
      </c>
      <c r="H27" s="11" t="s">
        <v>3652</v>
      </c>
      <c r="I27" s="12" t="s">
        <v>28</v>
      </c>
      <c r="J27" s="12" t="s">
        <v>103</v>
      </c>
      <c r="K27" s="12">
        <v>35.0</v>
      </c>
      <c r="L27" s="15" t="s">
        <v>47</v>
      </c>
      <c r="M27" s="17"/>
      <c r="N27" s="17"/>
    </row>
    <row r="28" ht="14.25" customHeight="1">
      <c r="A28" s="19" t="s">
        <v>3655</v>
      </c>
      <c r="B28" s="21" t="s">
        <v>900</v>
      </c>
      <c r="C28" s="21" t="s">
        <v>3606</v>
      </c>
      <c r="D28" s="19" t="s">
        <v>31</v>
      </c>
      <c r="E28" s="21" t="s">
        <v>3659</v>
      </c>
      <c r="F28" s="21" t="s">
        <v>3660</v>
      </c>
      <c r="G28" s="21" t="s">
        <v>3661</v>
      </c>
      <c r="H28" s="21" t="s">
        <v>3662</v>
      </c>
      <c r="I28" s="19" t="s">
        <v>28</v>
      </c>
      <c r="J28" s="19" t="s">
        <v>102</v>
      </c>
      <c r="K28" s="19">
        <v>25.0</v>
      </c>
      <c r="L28" s="15" t="s">
        <v>47</v>
      </c>
      <c r="M28" s="17"/>
      <c r="N28" s="17"/>
    </row>
    <row r="29" ht="14.25" customHeight="1">
      <c r="A29" s="12" t="s">
        <v>3665</v>
      </c>
      <c r="B29" s="11" t="s">
        <v>900</v>
      </c>
      <c r="C29" s="11" t="s">
        <v>3606</v>
      </c>
      <c r="D29" s="12" t="s">
        <v>31</v>
      </c>
      <c r="E29" s="11" t="s">
        <v>3669</v>
      </c>
      <c r="F29" s="11" t="s">
        <v>3670</v>
      </c>
      <c r="G29" s="11" t="s">
        <v>3671</v>
      </c>
      <c r="H29" s="11" t="s">
        <v>3672</v>
      </c>
      <c r="I29" s="12" t="s">
        <v>28</v>
      </c>
      <c r="J29" s="12" t="s">
        <v>102</v>
      </c>
      <c r="K29" s="12">
        <v>20.0</v>
      </c>
      <c r="L29" s="15" t="s">
        <v>47</v>
      </c>
      <c r="M29" s="17"/>
      <c r="N29" s="17"/>
    </row>
    <row r="30" ht="14.25" customHeight="1">
      <c r="A30" s="19" t="s">
        <v>3677</v>
      </c>
      <c r="B30" s="21" t="s">
        <v>900</v>
      </c>
      <c r="C30" s="21" t="s">
        <v>3606</v>
      </c>
      <c r="D30" s="19" t="s">
        <v>31</v>
      </c>
      <c r="E30" s="21" t="s">
        <v>3679</v>
      </c>
      <c r="F30" s="21" t="s">
        <v>3680</v>
      </c>
      <c r="G30" s="21" t="s">
        <v>3681</v>
      </c>
      <c r="H30" s="21" t="s">
        <v>3682</v>
      </c>
      <c r="I30" s="19" t="s">
        <v>28</v>
      </c>
      <c r="J30" s="19" t="s">
        <v>103</v>
      </c>
      <c r="K30" s="19">
        <v>30.0</v>
      </c>
      <c r="L30" s="15" t="s">
        <v>47</v>
      </c>
      <c r="M30" s="17"/>
      <c r="N30" s="17"/>
    </row>
    <row r="31" ht="14.25" customHeight="1">
      <c r="A31" s="12" t="s">
        <v>3687</v>
      </c>
      <c r="B31" s="11" t="s">
        <v>900</v>
      </c>
      <c r="C31" s="11" t="s">
        <v>3606</v>
      </c>
      <c r="D31" s="12" t="s">
        <v>31</v>
      </c>
      <c r="E31" s="11" t="s">
        <v>3689</v>
      </c>
      <c r="F31" s="11" t="s">
        <v>3690</v>
      </c>
      <c r="G31" s="11" t="s">
        <v>3691</v>
      </c>
      <c r="H31" s="11" t="s">
        <v>3692</v>
      </c>
      <c r="I31" s="12" t="s">
        <v>29</v>
      </c>
      <c r="J31" s="12" t="s">
        <v>75</v>
      </c>
      <c r="K31" s="12">
        <v>25.0</v>
      </c>
      <c r="L31" s="15" t="s">
        <v>47</v>
      </c>
      <c r="M31" s="17"/>
      <c r="N31" s="17"/>
    </row>
    <row r="32" ht="14.25" customHeight="1">
      <c r="A32" s="19" t="s">
        <v>3697</v>
      </c>
      <c r="B32" s="21" t="s">
        <v>900</v>
      </c>
      <c r="C32" s="21" t="s">
        <v>3606</v>
      </c>
      <c r="D32" s="19" t="s">
        <v>31</v>
      </c>
      <c r="E32" s="21" t="s">
        <v>3496</v>
      </c>
      <c r="F32" s="21" t="s">
        <v>3700</v>
      </c>
      <c r="G32" s="21" t="s">
        <v>3701</v>
      </c>
      <c r="H32" s="21" t="s">
        <v>3702</v>
      </c>
      <c r="I32" s="19" t="s">
        <v>28</v>
      </c>
      <c r="J32" s="19" t="s">
        <v>103</v>
      </c>
      <c r="K32" s="19">
        <v>30.0</v>
      </c>
      <c r="L32" s="15" t="s">
        <v>47</v>
      </c>
      <c r="M32" s="17"/>
      <c r="N32" s="17"/>
    </row>
    <row r="33" ht="14.25" customHeight="1">
      <c r="A33" s="12" t="s">
        <v>3704</v>
      </c>
      <c r="B33" s="11" t="s">
        <v>900</v>
      </c>
      <c r="C33" s="11" t="s">
        <v>3606</v>
      </c>
      <c r="D33" s="12" t="s">
        <v>31</v>
      </c>
      <c r="E33" s="11" t="s">
        <v>3708</v>
      </c>
      <c r="F33" s="11" t="s">
        <v>3710</v>
      </c>
      <c r="G33" s="11" t="s">
        <v>3711</v>
      </c>
      <c r="H33" s="11" t="s">
        <v>3712</v>
      </c>
      <c r="I33" s="12" t="s">
        <v>29</v>
      </c>
      <c r="J33" s="12" t="s">
        <v>197</v>
      </c>
      <c r="K33" s="12">
        <v>25.0</v>
      </c>
      <c r="L33" s="15" t="s">
        <v>47</v>
      </c>
      <c r="M33" s="17"/>
      <c r="N33" s="17"/>
    </row>
    <row r="34" ht="14.25" customHeight="1">
      <c r="A34" s="19" t="s">
        <v>3714</v>
      </c>
      <c r="B34" s="21" t="s">
        <v>900</v>
      </c>
      <c r="C34" s="21" t="s">
        <v>3606</v>
      </c>
      <c r="D34" s="19" t="s">
        <v>31</v>
      </c>
      <c r="E34" s="21" t="s">
        <v>3718</v>
      </c>
      <c r="F34" s="21" t="s">
        <v>3720</v>
      </c>
      <c r="G34" s="21" t="s">
        <v>3721</v>
      </c>
      <c r="H34" s="21" t="s">
        <v>3722</v>
      </c>
      <c r="I34" s="19" t="s">
        <v>30</v>
      </c>
      <c r="J34" s="19" t="s">
        <v>197</v>
      </c>
      <c r="K34" s="19">
        <v>20.0</v>
      </c>
      <c r="L34" s="15" t="s">
        <v>47</v>
      </c>
      <c r="M34" s="17"/>
      <c r="N34" s="17"/>
    </row>
    <row r="35" ht="14.25" customHeight="1">
      <c r="A35" s="12" t="s">
        <v>3724</v>
      </c>
      <c r="B35" s="11" t="s">
        <v>900</v>
      </c>
      <c r="C35" s="11" t="s">
        <v>3606</v>
      </c>
      <c r="D35" s="12" t="s">
        <v>31</v>
      </c>
      <c r="E35" s="11" t="s">
        <v>3727</v>
      </c>
      <c r="F35" s="11" t="s">
        <v>3728</v>
      </c>
      <c r="G35" s="11" t="s">
        <v>3730</v>
      </c>
      <c r="H35" s="11" t="s">
        <v>3731</v>
      </c>
      <c r="I35" s="12" t="s">
        <v>29</v>
      </c>
      <c r="J35" s="12" t="s">
        <v>197</v>
      </c>
      <c r="K35" s="12">
        <v>20.0</v>
      </c>
      <c r="L35" s="15" t="s">
        <v>47</v>
      </c>
      <c r="M35" s="17"/>
      <c r="N35" s="17"/>
    </row>
    <row r="36" ht="14.25" customHeight="1">
      <c r="A36" s="19" t="s">
        <v>3733</v>
      </c>
      <c r="B36" s="21" t="s">
        <v>900</v>
      </c>
      <c r="C36" s="21" t="s">
        <v>3606</v>
      </c>
      <c r="D36" s="19" t="s">
        <v>31</v>
      </c>
      <c r="E36" s="21" t="s">
        <v>3735</v>
      </c>
      <c r="F36" s="21" t="s">
        <v>3737</v>
      </c>
      <c r="G36" s="21" t="s">
        <v>3739</v>
      </c>
      <c r="H36" s="21" t="s">
        <v>3741</v>
      </c>
      <c r="I36" s="19" t="s">
        <v>28</v>
      </c>
      <c r="J36" s="19" t="s">
        <v>197</v>
      </c>
      <c r="K36" s="19">
        <v>35.0</v>
      </c>
      <c r="L36" s="15" t="s">
        <v>47</v>
      </c>
      <c r="M36" s="17"/>
      <c r="N36" s="17"/>
    </row>
    <row r="37" ht="14.25" customHeight="1">
      <c r="A37" s="12" t="s">
        <v>3743</v>
      </c>
      <c r="B37" s="11" t="s">
        <v>900</v>
      </c>
      <c r="C37" s="11" t="s">
        <v>3606</v>
      </c>
      <c r="D37" s="12" t="s">
        <v>31</v>
      </c>
      <c r="E37" s="11" t="s">
        <v>3745</v>
      </c>
      <c r="F37" s="11" t="s">
        <v>3747</v>
      </c>
      <c r="G37" s="11" t="s">
        <v>3749</v>
      </c>
      <c r="H37" s="11" t="s">
        <v>3750</v>
      </c>
      <c r="I37" s="12" t="s">
        <v>29</v>
      </c>
      <c r="J37" s="12" t="s">
        <v>197</v>
      </c>
      <c r="K37" s="12">
        <v>25.0</v>
      </c>
      <c r="L37" s="15" t="s">
        <v>47</v>
      </c>
      <c r="M37" s="17"/>
      <c r="N37" s="17"/>
    </row>
    <row r="38" ht="14.25" customHeight="1">
      <c r="A38" s="19" t="s">
        <v>3752</v>
      </c>
      <c r="B38" s="21" t="s">
        <v>900</v>
      </c>
      <c r="C38" s="21" t="s">
        <v>3606</v>
      </c>
      <c r="D38" s="19" t="s">
        <v>31</v>
      </c>
      <c r="E38" s="21" t="s">
        <v>2487</v>
      </c>
      <c r="F38" s="21" t="s">
        <v>3757</v>
      </c>
      <c r="G38" s="21" t="s">
        <v>3758</v>
      </c>
      <c r="H38" s="21" t="s">
        <v>3759</v>
      </c>
      <c r="I38" s="19" t="s">
        <v>28</v>
      </c>
      <c r="J38" s="19" t="s">
        <v>102</v>
      </c>
      <c r="K38" s="19">
        <v>25.0</v>
      </c>
      <c r="L38" s="15" t="s">
        <v>47</v>
      </c>
      <c r="M38" s="17"/>
      <c r="N38" s="17"/>
    </row>
    <row r="39" ht="14.25" customHeight="1">
      <c r="A39" s="12" t="s">
        <v>3761</v>
      </c>
      <c r="B39" s="11" t="s">
        <v>900</v>
      </c>
      <c r="C39" s="11" t="s">
        <v>3606</v>
      </c>
      <c r="D39" s="12" t="s">
        <v>31</v>
      </c>
      <c r="E39" s="11" t="s">
        <v>3627</v>
      </c>
      <c r="F39" s="11" t="s">
        <v>3764</v>
      </c>
      <c r="G39" s="11" t="s">
        <v>3766</v>
      </c>
      <c r="H39" s="11" t="s">
        <v>3768</v>
      </c>
      <c r="I39" s="12" t="s">
        <v>28</v>
      </c>
      <c r="J39" s="12" t="s">
        <v>102</v>
      </c>
      <c r="K39" s="12">
        <v>25.0</v>
      </c>
      <c r="L39" s="15" t="s">
        <v>47</v>
      </c>
      <c r="M39" s="17"/>
      <c r="N39" s="17"/>
    </row>
    <row r="40" ht="14.25" customHeight="1">
      <c r="A40" s="19" t="s">
        <v>3770</v>
      </c>
      <c r="B40" s="21" t="s">
        <v>900</v>
      </c>
      <c r="C40" s="21" t="s">
        <v>3606</v>
      </c>
      <c r="D40" s="19" t="s">
        <v>33</v>
      </c>
      <c r="E40" s="21" t="s">
        <v>3773</v>
      </c>
      <c r="F40" s="21" t="s">
        <v>3775</v>
      </c>
      <c r="G40" s="21" t="s">
        <v>3777</v>
      </c>
      <c r="H40" s="21" t="s">
        <v>3778</v>
      </c>
      <c r="I40" s="19" t="s">
        <v>28</v>
      </c>
      <c r="J40" s="19" t="s">
        <v>75</v>
      </c>
      <c r="K40" s="19">
        <v>30.0</v>
      </c>
      <c r="L40" s="15" t="s">
        <v>47</v>
      </c>
      <c r="M40" s="17"/>
      <c r="N40" s="17"/>
    </row>
    <row r="41" ht="14.25" customHeight="1">
      <c r="A41" s="12" t="s">
        <v>3785</v>
      </c>
      <c r="B41" s="11" t="s">
        <v>900</v>
      </c>
      <c r="C41" s="11" t="s">
        <v>3606</v>
      </c>
      <c r="D41" s="12" t="s">
        <v>183</v>
      </c>
      <c r="E41" s="11" t="s">
        <v>3787</v>
      </c>
      <c r="F41" s="11" t="s">
        <v>3788</v>
      </c>
      <c r="G41" s="11" t="s">
        <v>3790</v>
      </c>
      <c r="H41" s="11" t="s">
        <v>3792</v>
      </c>
      <c r="I41" s="12" t="s">
        <v>29</v>
      </c>
      <c r="J41" s="12" t="s">
        <v>732</v>
      </c>
      <c r="K41" s="12">
        <v>30.0</v>
      </c>
      <c r="L41" s="15" t="s">
        <v>47</v>
      </c>
      <c r="M41" s="17"/>
      <c r="N41" s="17"/>
    </row>
    <row r="42" ht="14.25" customHeight="1">
      <c r="A42" s="19" t="s">
        <v>3794</v>
      </c>
      <c r="B42" s="21" t="s">
        <v>900</v>
      </c>
      <c r="C42" s="21" t="s">
        <v>114</v>
      </c>
      <c r="D42" s="19" t="s">
        <v>31</v>
      </c>
      <c r="E42" s="21" t="s">
        <v>3798</v>
      </c>
      <c r="F42" s="21" t="s">
        <v>3800</v>
      </c>
      <c r="G42" s="21" t="s">
        <v>3802</v>
      </c>
      <c r="H42" s="21" t="s">
        <v>3803</v>
      </c>
      <c r="I42" s="19" t="s">
        <v>28</v>
      </c>
      <c r="J42" s="19" t="s">
        <v>114</v>
      </c>
      <c r="K42" s="19">
        <v>25.0</v>
      </c>
      <c r="L42" s="15" t="s">
        <v>47</v>
      </c>
      <c r="M42" s="17"/>
      <c r="N42" s="17"/>
    </row>
    <row r="43" ht="14.25" customHeight="1"/>
    <row r="44" ht="14.25" customHeight="1">
      <c r="J44" s="3" t="s">
        <v>789</v>
      </c>
      <c r="K44" s="27">
        <f>SUM(K3:K42)</f>
        <v>1010</v>
      </c>
    </row>
    <row r="45" ht="14.25" customHeight="1">
      <c r="J45" s="3" t="s">
        <v>808</v>
      </c>
      <c r="K45" s="28">
        <f>K44/60</f>
        <v>16.83333333</v>
      </c>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42"/>
  <mergeCells count="1">
    <mergeCell ref="A1:N1"/>
  </mergeCells>
  <conditionalFormatting sqref="L3:L42">
    <cfRule type="cellIs" dxfId="0" priority="1" operator="equal">
      <formula>"Pass"</formula>
    </cfRule>
  </conditionalFormatting>
  <conditionalFormatting sqref="L3:L42">
    <cfRule type="cellIs" dxfId="1" priority="2" operator="equal">
      <formula>"Fail"</formula>
    </cfRule>
  </conditionalFormatting>
  <conditionalFormatting sqref="L3:L42">
    <cfRule type="cellIs" dxfId="2" priority="3" operator="equal">
      <formula>"Blocked"</formula>
    </cfRule>
  </conditionalFormatting>
  <dataValidations>
    <dataValidation type="list" allowBlank="1" sqref="L3:L42">
      <formula1>"Not Run,Pass,Fail,Blocked,N-A"</formula1>
    </dataValidation>
  </dataValidation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3576</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3596</v>
      </c>
      <c r="B3" s="11" t="s">
        <v>901</v>
      </c>
      <c r="C3" s="11" t="s">
        <v>3598</v>
      </c>
      <c r="D3" s="12" t="s">
        <v>31</v>
      </c>
      <c r="E3" s="11" t="s">
        <v>3601</v>
      </c>
      <c r="F3" s="11" t="s">
        <v>3602</v>
      </c>
      <c r="G3" s="11" t="s">
        <v>3603</v>
      </c>
      <c r="H3" s="11" t="s">
        <v>3604</v>
      </c>
      <c r="I3" s="12" t="s">
        <v>29</v>
      </c>
      <c r="J3" s="12" t="s">
        <v>197</v>
      </c>
      <c r="K3" s="12">
        <v>15.0</v>
      </c>
      <c r="L3" s="15" t="s">
        <v>47</v>
      </c>
      <c r="M3" s="17"/>
      <c r="N3" s="17"/>
    </row>
    <row r="4" ht="14.25" customHeight="1">
      <c r="A4" s="19" t="s">
        <v>3614</v>
      </c>
      <c r="B4" s="21" t="s">
        <v>901</v>
      </c>
      <c r="C4" s="21" t="s">
        <v>3598</v>
      </c>
      <c r="D4" s="19" t="s">
        <v>31</v>
      </c>
      <c r="E4" s="21" t="s">
        <v>3617</v>
      </c>
      <c r="F4" s="21" t="s">
        <v>3618</v>
      </c>
      <c r="G4" s="21" t="s">
        <v>3619</v>
      </c>
      <c r="H4" s="21" t="s">
        <v>3621</v>
      </c>
      <c r="I4" s="19" t="s">
        <v>28</v>
      </c>
      <c r="J4" s="19" t="s">
        <v>102</v>
      </c>
      <c r="K4" s="19">
        <v>25.0</v>
      </c>
      <c r="L4" s="15" t="s">
        <v>47</v>
      </c>
      <c r="M4" s="17"/>
      <c r="N4" s="17"/>
    </row>
    <row r="5" ht="14.25" customHeight="1">
      <c r="A5" s="12" t="s">
        <v>3626</v>
      </c>
      <c r="B5" s="11" t="s">
        <v>901</v>
      </c>
      <c r="C5" s="11" t="s">
        <v>3598</v>
      </c>
      <c r="D5" s="12" t="s">
        <v>31</v>
      </c>
      <c r="E5" s="11" t="s">
        <v>3627</v>
      </c>
      <c r="F5" s="11" t="s">
        <v>3628</v>
      </c>
      <c r="G5" s="11" t="s">
        <v>3630</v>
      </c>
      <c r="H5" s="11" t="s">
        <v>3631</v>
      </c>
      <c r="I5" s="12" t="s">
        <v>28</v>
      </c>
      <c r="J5" s="12" t="s">
        <v>102</v>
      </c>
      <c r="K5" s="12">
        <v>25.0</v>
      </c>
      <c r="L5" s="15" t="s">
        <v>47</v>
      </c>
      <c r="M5" s="17"/>
      <c r="N5" s="17"/>
    </row>
    <row r="6" ht="14.25" customHeight="1">
      <c r="A6" s="19" t="s">
        <v>3636</v>
      </c>
      <c r="B6" s="21" t="s">
        <v>901</v>
      </c>
      <c r="C6" s="21" t="s">
        <v>3598</v>
      </c>
      <c r="D6" s="19" t="s">
        <v>31</v>
      </c>
      <c r="E6" s="21" t="s">
        <v>1500</v>
      </c>
      <c r="F6" s="21" t="s">
        <v>1502</v>
      </c>
      <c r="G6" s="21" t="s">
        <v>3638</v>
      </c>
      <c r="H6" s="21" t="s">
        <v>1507</v>
      </c>
      <c r="I6" s="19" t="s">
        <v>28</v>
      </c>
      <c r="J6" s="19" t="s">
        <v>75</v>
      </c>
      <c r="K6" s="19">
        <v>30.0</v>
      </c>
      <c r="L6" s="15" t="s">
        <v>47</v>
      </c>
      <c r="M6" s="17"/>
      <c r="N6" s="17"/>
    </row>
    <row r="7" ht="14.25" customHeight="1">
      <c r="A7" s="12" t="s">
        <v>3643</v>
      </c>
      <c r="B7" s="11" t="s">
        <v>901</v>
      </c>
      <c r="C7" s="11" t="s">
        <v>3598</v>
      </c>
      <c r="D7" s="12" t="s">
        <v>31</v>
      </c>
      <c r="E7" s="11" t="s">
        <v>3644</v>
      </c>
      <c r="F7" s="11" t="s">
        <v>3645</v>
      </c>
      <c r="G7" s="11" t="s">
        <v>3647</v>
      </c>
      <c r="H7" s="11" t="s">
        <v>3648</v>
      </c>
      <c r="I7" s="12" t="s">
        <v>28</v>
      </c>
      <c r="J7" s="12" t="s">
        <v>103</v>
      </c>
      <c r="K7" s="12">
        <v>35.0</v>
      </c>
      <c r="L7" s="15" t="s">
        <v>47</v>
      </c>
      <c r="M7" s="17"/>
      <c r="N7" s="17"/>
    </row>
    <row r="8" ht="14.25" customHeight="1">
      <c r="A8" s="19" t="s">
        <v>3653</v>
      </c>
      <c r="B8" s="21" t="s">
        <v>901</v>
      </c>
      <c r="C8" s="21" t="s">
        <v>3598</v>
      </c>
      <c r="D8" s="19" t="s">
        <v>31</v>
      </c>
      <c r="E8" s="21" t="s">
        <v>3654</v>
      </c>
      <c r="F8" s="21" t="s">
        <v>3656</v>
      </c>
      <c r="G8" s="21" t="s">
        <v>3657</v>
      </c>
      <c r="H8" s="21" t="s">
        <v>3658</v>
      </c>
      <c r="I8" s="19" t="s">
        <v>28</v>
      </c>
      <c r="J8" s="19" t="s">
        <v>103</v>
      </c>
      <c r="K8" s="19">
        <v>30.0</v>
      </c>
      <c r="L8" s="15" t="s">
        <v>47</v>
      </c>
      <c r="M8" s="17"/>
      <c r="N8" s="17"/>
    </row>
    <row r="9" ht="14.25" customHeight="1">
      <c r="A9" s="12" t="s">
        <v>3663</v>
      </c>
      <c r="B9" s="11" t="s">
        <v>901</v>
      </c>
      <c r="C9" s="11" t="s">
        <v>3598</v>
      </c>
      <c r="D9" s="12" t="s">
        <v>31</v>
      </c>
      <c r="E9" s="11" t="s">
        <v>3664</v>
      </c>
      <c r="F9" s="11" t="s">
        <v>3666</v>
      </c>
      <c r="G9" s="11" t="s">
        <v>3667</v>
      </c>
      <c r="H9" s="11" t="s">
        <v>3668</v>
      </c>
      <c r="I9" s="12" t="s">
        <v>29</v>
      </c>
      <c r="J9" s="12" t="s">
        <v>102</v>
      </c>
      <c r="K9" s="12">
        <v>25.0</v>
      </c>
      <c r="L9" s="15" t="s">
        <v>47</v>
      </c>
      <c r="M9" s="17"/>
      <c r="N9" s="17"/>
    </row>
    <row r="10" ht="14.25" customHeight="1">
      <c r="A10" s="19" t="s">
        <v>3673</v>
      </c>
      <c r="B10" s="21" t="s">
        <v>901</v>
      </c>
      <c r="C10" s="21" t="s">
        <v>3598</v>
      </c>
      <c r="D10" s="19" t="s">
        <v>31</v>
      </c>
      <c r="E10" s="21" t="s">
        <v>3674</v>
      </c>
      <c r="F10" s="21" t="s">
        <v>3675</v>
      </c>
      <c r="G10" s="21" t="s">
        <v>3676</v>
      </c>
      <c r="H10" s="21" t="s">
        <v>3678</v>
      </c>
      <c r="I10" s="19" t="s">
        <v>29</v>
      </c>
      <c r="J10" s="19" t="s">
        <v>102</v>
      </c>
      <c r="K10" s="19">
        <v>20.0</v>
      </c>
      <c r="L10" s="15" t="s">
        <v>47</v>
      </c>
      <c r="M10" s="17"/>
      <c r="N10" s="17"/>
    </row>
    <row r="11" ht="14.25" customHeight="1">
      <c r="A11" s="12" t="s">
        <v>3683</v>
      </c>
      <c r="B11" s="11" t="s">
        <v>901</v>
      </c>
      <c r="C11" s="11" t="s">
        <v>3598</v>
      </c>
      <c r="D11" s="12" t="s">
        <v>31</v>
      </c>
      <c r="E11" s="11" t="s">
        <v>3684</v>
      </c>
      <c r="F11" s="11" t="s">
        <v>3685</v>
      </c>
      <c r="G11" s="11" t="s">
        <v>3686</v>
      </c>
      <c r="H11" s="11" t="s">
        <v>3688</v>
      </c>
      <c r="I11" s="12" t="s">
        <v>28</v>
      </c>
      <c r="J11" s="12" t="s">
        <v>103</v>
      </c>
      <c r="K11" s="12">
        <v>30.0</v>
      </c>
      <c r="L11" s="15" t="s">
        <v>47</v>
      </c>
      <c r="M11" s="17"/>
      <c r="N11" s="17"/>
    </row>
    <row r="12" ht="14.25" customHeight="1">
      <c r="A12" s="19" t="s">
        <v>3693</v>
      </c>
      <c r="B12" s="21" t="s">
        <v>901</v>
      </c>
      <c r="C12" s="21" t="s">
        <v>3694</v>
      </c>
      <c r="D12" s="19" t="s">
        <v>33</v>
      </c>
      <c r="E12" s="21" t="s">
        <v>3695</v>
      </c>
      <c r="F12" s="21" t="s">
        <v>3696</v>
      </c>
      <c r="G12" s="21" t="s">
        <v>3698</v>
      </c>
      <c r="H12" s="21" t="s">
        <v>3699</v>
      </c>
      <c r="I12" s="19" t="s">
        <v>28</v>
      </c>
      <c r="J12" s="19" t="s">
        <v>102</v>
      </c>
      <c r="K12" s="19">
        <v>30.0</v>
      </c>
      <c r="L12" s="15" t="s">
        <v>47</v>
      </c>
      <c r="M12" s="17"/>
      <c r="N12" s="17"/>
    </row>
    <row r="13" ht="14.25" customHeight="1">
      <c r="A13" s="12" t="s">
        <v>3703</v>
      </c>
      <c r="B13" s="11" t="s">
        <v>901</v>
      </c>
      <c r="C13" s="11" t="s">
        <v>3694</v>
      </c>
      <c r="D13" s="12" t="s">
        <v>33</v>
      </c>
      <c r="E13" s="11" t="s">
        <v>3705</v>
      </c>
      <c r="F13" s="11" t="s">
        <v>3706</v>
      </c>
      <c r="G13" s="11" t="s">
        <v>3707</v>
      </c>
      <c r="H13" s="11" t="s">
        <v>3709</v>
      </c>
      <c r="I13" s="12" t="s">
        <v>28</v>
      </c>
      <c r="J13" s="12" t="s">
        <v>102</v>
      </c>
      <c r="K13" s="12">
        <v>25.0</v>
      </c>
      <c r="L13" s="15" t="s">
        <v>47</v>
      </c>
      <c r="M13" s="17"/>
      <c r="N13" s="17"/>
    </row>
    <row r="14" ht="14.25" customHeight="1">
      <c r="A14" s="19" t="s">
        <v>3713</v>
      </c>
      <c r="B14" s="21" t="s">
        <v>901</v>
      </c>
      <c r="C14" s="21" t="s">
        <v>3694</v>
      </c>
      <c r="D14" s="19" t="s">
        <v>33</v>
      </c>
      <c r="E14" s="21" t="s">
        <v>3715</v>
      </c>
      <c r="F14" s="21" t="s">
        <v>3716</v>
      </c>
      <c r="G14" s="21" t="s">
        <v>3717</v>
      </c>
      <c r="H14" s="21" t="s">
        <v>3719</v>
      </c>
      <c r="I14" s="19" t="s">
        <v>28</v>
      </c>
      <c r="J14" s="19" t="s">
        <v>102</v>
      </c>
      <c r="K14" s="19">
        <v>30.0</v>
      </c>
      <c r="L14" s="15" t="s">
        <v>47</v>
      </c>
      <c r="M14" s="17"/>
      <c r="N14" s="17"/>
    </row>
    <row r="15" ht="14.25" customHeight="1">
      <c r="A15" s="12" t="s">
        <v>3723</v>
      </c>
      <c r="B15" s="11" t="s">
        <v>901</v>
      </c>
      <c r="C15" s="11" t="s">
        <v>3694</v>
      </c>
      <c r="D15" s="12" t="s">
        <v>33</v>
      </c>
      <c r="E15" s="11" t="s">
        <v>3705</v>
      </c>
      <c r="F15" s="11" t="s">
        <v>3725</v>
      </c>
      <c r="G15" s="11" t="s">
        <v>3726</v>
      </c>
      <c r="H15" s="11" t="s">
        <v>3729</v>
      </c>
      <c r="I15" s="12" t="s">
        <v>28</v>
      </c>
      <c r="J15" s="12" t="s">
        <v>103</v>
      </c>
      <c r="K15" s="12">
        <v>25.0</v>
      </c>
      <c r="L15" s="15" t="s">
        <v>47</v>
      </c>
      <c r="M15" s="17"/>
      <c r="N15" s="17"/>
    </row>
    <row r="16" ht="14.25" customHeight="1">
      <c r="A16" s="19" t="s">
        <v>3732</v>
      </c>
      <c r="B16" s="21" t="s">
        <v>901</v>
      </c>
      <c r="C16" s="21" t="s">
        <v>3694</v>
      </c>
      <c r="D16" s="19" t="s">
        <v>33</v>
      </c>
      <c r="E16" s="21" t="s">
        <v>3734</v>
      </c>
      <c r="F16" s="21" t="s">
        <v>3736</v>
      </c>
      <c r="G16" s="21" t="s">
        <v>3738</v>
      </c>
      <c r="H16" s="21" t="s">
        <v>3740</v>
      </c>
      <c r="I16" s="19" t="s">
        <v>29</v>
      </c>
      <c r="J16" s="19" t="s">
        <v>197</v>
      </c>
      <c r="K16" s="19">
        <v>15.0</v>
      </c>
      <c r="L16" s="15" t="s">
        <v>47</v>
      </c>
      <c r="M16" s="17"/>
      <c r="N16" s="17"/>
    </row>
    <row r="17" ht="14.25" customHeight="1">
      <c r="A17" s="12" t="s">
        <v>3742</v>
      </c>
      <c r="B17" s="11" t="s">
        <v>901</v>
      </c>
      <c r="C17" s="11" t="s">
        <v>3694</v>
      </c>
      <c r="D17" s="12" t="s">
        <v>33</v>
      </c>
      <c r="E17" s="11" t="s">
        <v>1532</v>
      </c>
      <c r="F17" s="11" t="s">
        <v>3744</v>
      </c>
      <c r="G17" s="11" t="s">
        <v>3746</v>
      </c>
      <c r="H17" s="11" t="s">
        <v>3748</v>
      </c>
      <c r="I17" s="12" t="s">
        <v>28</v>
      </c>
      <c r="J17" s="12" t="s">
        <v>103</v>
      </c>
      <c r="K17" s="12">
        <v>30.0</v>
      </c>
      <c r="L17" s="15" t="s">
        <v>47</v>
      </c>
      <c r="M17" s="17"/>
      <c r="N17" s="17"/>
    </row>
    <row r="18" ht="14.25" customHeight="1">
      <c r="A18" s="19" t="s">
        <v>3751</v>
      </c>
      <c r="B18" s="21" t="s">
        <v>901</v>
      </c>
      <c r="C18" s="21" t="s">
        <v>3694</v>
      </c>
      <c r="D18" s="19" t="s">
        <v>33</v>
      </c>
      <c r="E18" s="21" t="s">
        <v>3753</v>
      </c>
      <c r="F18" s="21" t="s">
        <v>3754</v>
      </c>
      <c r="G18" s="21" t="s">
        <v>3755</v>
      </c>
      <c r="H18" s="21" t="s">
        <v>3756</v>
      </c>
      <c r="I18" s="19" t="s">
        <v>29</v>
      </c>
      <c r="J18" s="19" t="s">
        <v>103</v>
      </c>
      <c r="K18" s="19">
        <v>25.0</v>
      </c>
      <c r="L18" s="15" t="s">
        <v>47</v>
      </c>
      <c r="M18" s="17"/>
      <c r="N18" s="17"/>
    </row>
    <row r="19" ht="14.25" customHeight="1">
      <c r="A19" s="12" t="s">
        <v>3760</v>
      </c>
      <c r="B19" s="11" t="s">
        <v>901</v>
      </c>
      <c r="C19" s="11" t="s">
        <v>3694</v>
      </c>
      <c r="D19" s="12" t="s">
        <v>33</v>
      </c>
      <c r="E19" s="11" t="s">
        <v>3762</v>
      </c>
      <c r="F19" s="11" t="s">
        <v>3763</v>
      </c>
      <c r="G19" s="11" t="s">
        <v>3765</v>
      </c>
      <c r="H19" s="11" t="s">
        <v>3767</v>
      </c>
      <c r="I19" s="12" t="s">
        <v>29</v>
      </c>
      <c r="J19" s="12" t="s">
        <v>103</v>
      </c>
      <c r="K19" s="12">
        <v>25.0</v>
      </c>
      <c r="L19" s="15" t="s">
        <v>47</v>
      </c>
      <c r="M19" s="17"/>
      <c r="N19" s="17"/>
    </row>
    <row r="20" ht="14.25" customHeight="1">
      <c r="A20" s="19" t="s">
        <v>3769</v>
      </c>
      <c r="B20" s="21" t="s">
        <v>901</v>
      </c>
      <c r="C20" s="21" t="s">
        <v>3694</v>
      </c>
      <c r="D20" s="19" t="s">
        <v>33</v>
      </c>
      <c r="E20" s="21" t="s">
        <v>3771</v>
      </c>
      <c r="F20" s="21" t="s">
        <v>3772</v>
      </c>
      <c r="G20" s="21" t="s">
        <v>3774</v>
      </c>
      <c r="H20" s="21" t="s">
        <v>3776</v>
      </c>
      <c r="I20" s="19" t="s">
        <v>29</v>
      </c>
      <c r="J20" s="19" t="s">
        <v>102</v>
      </c>
      <c r="K20" s="19">
        <v>35.0</v>
      </c>
      <c r="L20" s="15" t="s">
        <v>47</v>
      </c>
      <c r="M20" s="17"/>
      <c r="N20" s="17"/>
    </row>
    <row r="21" ht="14.25" customHeight="1">
      <c r="A21" s="12" t="s">
        <v>3779</v>
      </c>
      <c r="B21" s="11" t="s">
        <v>901</v>
      </c>
      <c r="C21" s="11" t="s">
        <v>3780</v>
      </c>
      <c r="D21" s="12" t="s">
        <v>33</v>
      </c>
      <c r="E21" s="11" t="s">
        <v>3781</v>
      </c>
      <c r="F21" s="11" t="s">
        <v>3782</v>
      </c>
      <c r="G21" s="11" t="s">
        <v>3783</v>
      </c>
      <c r="H21" s="11" t="s">
        <v>3784</v>
      </c>
      <c r="I21" s="12" t="s">
        <v>28</v>
      </c>
      <c r="J21" s="12" t="s">
        <v>75</v>
      </c>
      <c r="K21" s="12">
        <v>45.0</v>
      </c>
      <c r="L21" s="15" t="s">
        <v>47</v>
      </c>
      <c r="M21" s="17"/>
      <c r="N21" s="17"/>
    </row>
    <row r="22" ht="14.25" customHeight="1">
      <c r="A22" s="19" t="s">
        <v>3786</v>
      </c>
      <c r="B22" s="21" t="s">
        <v>901</v>
      </c>
      <c r="C22" s="21" t="s">
        <v>3780</v>
      </c>
      <c r="D22" s="19" t="s">
        <v>33</v>
      </c>
      <c r="E22" s="21" t="s">
        <v>3781</v>
      </c>
      <c r="F22" s="21" t="s">
        <v>3789</v>
      </c>
      <c r="G22" s="21" t="s">
        <v>3791</v>
      </c>
      <c r="H22" s="21" t="s">
        <v>3793</v>
      </c>
      <c r="I22" s="19" t="s">
        <v>28</v>
      </c>
      <c r="J22" s="19" t="s">
        <v>102</v>
      </c>
      <c r="K22" s="19">
        <v>45.0</v>
      </c>
      <c r="L22" s="15" t="s">
        <v>47</v>
      </c>
      <c r="M22" s="17"/>
      <c r="N22" s="17"/>
    </row>
    <row r="23" ht="14.25" customHeight="1">
      <c r="A23" s="12" t="s">
        <v>3795</v>
      </c>
      <c r="B23" s="11" t="s">
        <v>901</v>
      </c>
      <c r="C23" s="11" t="s">
        <v>3780</v>
      </c>
      <c r="D23" s="12" t="s">
        <v>33</v>
      </c>
      <c r="E23" s="11" t="s">
        <v>3796</v>
      </c>
      <c r="F23" s="11" t="s">
        <v>3797</v>
      </c>
      <c r="G23" s="11" t="s">
        <v>3799</v>
      </c>
      <c r="H23" s="11" t="s">
        <v>3801</v>
      </c>
      <c r="I23" s="12" t="s">
        <v>28</v>
      </c>
      <c r="J23" s="12" t="s">
        <v>75</v>
      </c>
      <c r="K23" s="12">
        <v>35.0</v>
      </c>
      <c r="L23" s="15" t="s">
        <v>47</v>
      </c>
      <c r="M23" s="17"/>
      <c r="N23" s="17"/>
    </row>
    <row r="24" ht="14.25" customHeight="1">
      <c r="A24" s="19" t="s">
        <v>3804</v>
      </c>
      <c r="B24" s="21" t="s">
        <v>901</v>
      </c>
      <c r="C24" s="21" t="s">
        <v>3780</v>
      </c>
      <c r="D24" s="19" t="s">
        <v>33</v>
      </c>
      <c r="E24" s="21" t="s">
        <v>3805</v>
      </c>
      <c r="F24" s="21" t="s">
        <v>3806</v>
      </c>
      <c r="G24" s="21" t="s">
        <v>3807</v>
      </c>
      <c r="H24" s="21" t="s">
        <v>3808</v>
      </c>
      <c r="I24" s="19" t="s">
        <v>28</v>
      </c>
      <c r="J24" s="19" t="s">
        <v>75</v>
      </c>
      <c r="K24" s="19">
        <v>35.0</v>
      </c>
      <c r="L24" s="15" t="s">
        <v>47</v>
      </c>
      <c r="M24" s="17"/>
      <c r="N24" s="17"/>
    </row>
    <row r="25" ht="14.25" customHeight="1">
      <c r="A25" s="12" t="s">
        <v>3809</v>
      </c>
      <c r="B25" s="11" t="s">
        <v>901</v>
      </c>
      <c r="C25" s="11" t="s">
        <v>3780</v>
      </c>
      <c r="D25" s="12" t="s">
        <v>33</v>
      </c>
      <c r="E25" s="11" t="s">
        <v>3810</v>
      </c>
      <c r="F25" s="11" t="s">
        <v>3811</v>
      </c>
      <c r="G25" s="11" t="s">
        <v>3812</v>
      </c>
      <c r="H25" s="11" t="s">
        <v>3813</v>
      </c>
      <c r="I25" s="12" t="s">
        <v>28</v>
      </c>
      <c r="J25" s="12" t="s">
        <v>352</v>
      </c>
      <c r="K25" s="12">
        <v>45.0</v>
      </c>
      <c r="L25" s="15" t="s">
        <v>47</v>
      </c>
      <c r="M25" s="17"/>
      <c r="N25" s="17"/>
    </row>
    <row r="26" ht="14.25" customHeight="1">
      <c r="A26" s="19" t="s">
        <v>3814</v>
      </c>
      <c r="B26" s="21" t="s">
        <v>901</v>
      </c>
      <c r="C26" s="21" t="s">
        <v>3780</v>
      </c>
      <c r="D26" s="19" t="s">
        <v>33</v>
      </c>
      <c r="E26" s="21" t="s">
        <v>3815</v>
      </c>
      <c r="F26" s="21" t="s">
        <v>3816</v>
      </c>
      <c r="G26" s="21" t="s">
        <v>3817</v>
      </c>
      <c r="H26" s="21" t="s">
        <v>3818</v>
      </c>
      <c r="I26" s="19" t="s">
        <v>28</v>
      </c>
      <c r="J26" s="19" t="s">
        <v>75</v>
      </c>
      <c r="K26" s="19">
        <v>30.0</v>
      </c>
      <c r="L26" s="15" t="s">
        <v>47</v>
      </c>
      <c r="M26" s="17"/>
      <c r="N26" s="17"/>
    </row>
    <row r="27" ht="14.25" customHeight="1">
      <c r="A27" s="12" t="s">
        <v>3819</v>
      </c>
      <c r="B27" s="11" t="s">
        <v>901</v>
      </c>
      <c r="C27" s="11" t="s">
        <v>3780</v>
      </c>
      <c r="D27" s="12" t="s">
        <v>33</v>
      </c>
      <c r="E27" s="11" t="s">
        <v>3820</v>
      </c>
      <c r="F27" s="11" t="s">
        <v>3821</v>
      </c>
      <c r="G27" s="11" t="s">
        <v>3822</v>
      </c>
      <c r="H27" s="11" t="s">
        <v>3823</v>
      </c>
      <c r="I27" s="12" t="s">
        <v>28</v>
      </c>
      <c r="J27" s="12" t="s">
        <v>75</v>
      </c>
      <c r="K27" s="12">
        <v>40.0</v>
      </c>
      <c r="L27" s="15" t="s">
        <v>47</v>
      </c>
      <c r="M27" s="17"/>
      <c r="N27" s="17"/>
    </row>
    <row r="28" ht="14.25" customHeight="1">
      <c r="A28" s="19" t="s">
        <v>3824</v>
      </c>
      <c r="B28" s="21" t="s">
        <v>901</v>
      </c>
      <c r="C28" s="21" t="s">
        <v>3780</v>
      </c>
      <c r="D28" s="19" t="s">
        <v>33</v>
      </c>
      <c r="E28" s="21" t="s">
        <v>3825</v>
      </c>
      <c r="F28" s="21" t="s">
        <v>3826</v>
      </c>
      <c r="G28" s="21" t="s">
        <v>3827</v>
      </c>
      <c r="H28" s="21" t="s">
        <v>3828</v>
      </c>
      <c r="I28" s="19" t="s">
        <v>28</v>
      </c>
      <c r="J28" s="19" t="s">
        <v>103</v>
      </c>
      <c r="K28" s="19">
        <v>30.0</v>
      </c>
      <c r="L28" s="15" t="s">
        <v>47</v>
      </c>
      <c r="M28" s="17"/>
      <c r="N28" s="17"/>
    </row>
    <row r="29" ht="14.25" customHeight="1">
      <c r="A29" s="12" t="s">
        <v>3829</v>
      </c>
      <c r="B29" s="11" t="s">
        <v>901</v>
      </c>
      <c r="C29" s="11" t="s">
        <v>3780</v>
      </c>
      <c r="D29" s="12" t="s">
        <v>33</v>
      </c>
      <c r="E29" s="11" t="s">
        <v>3830</v>
      </c>
      <c r="F29" s="11" t="s">
        <v>3831</v>
      </c>
      <c r="G29" s="11" t="s">
        <v>3832</v>
      </c>
      <c r="H29" s="11" t="s">
        <v>3833</v>
      </c>
      <c r="I29" s="12" t="s">
        <v>29</v>
      </c>
      <c r="J29" s="12" t="s">
        <v>75</v>
      </c>
      <c r="K29" s="12">
        <v>30.0</v>
      </c>
      <c r="L29" s="15" t="s">
        <v>47</v>
      </c>
      <c r="M29" s="17"/>
      <c r="N29" s="17"/>
    </row>
    <row r="30" ht="14.25" customHeight="1">
      <c r="A30" s="19" t="s">
        <v>3834</v>
      </c>
      <c r="B30" s="21" t="s">
        <v>901</v>
      </c>
      <c r="C30" s="21" t="s">
        <v>3780</v>
      </c>
      <c r="D30" s="19" t="s">
        <v>33</v>
      </c>
      <c r="E30" s="21" t="s">
        <v>679</v>
      </c>
      <c r="F30" s="21" t="s">
        <v>3835</v>
      </c>
      <c r="G30" s="21" t="s">
        <v>3836</v>
      </c>
      <c r="H30" s="21" t="s">
        <v>3837</v>
      </c>
      <c r="I30" s="19" t="s">
        <v>28</v>
      </c>
      <c r="J30" s="19" t="s">
        <v>103</v>
      </c>
      <c r="K30" s="19">
        <v>25.0</v>
      </c>
      <c r="L30" s="15" t="s">
        <v>47</v>
      </c>
      <c r="M30" s="17"/>
      <c r="N30" s="17"/>
    </row>
    <row r="31" ht="14.25" customHeight="1">
      <c r="A31" s="12" t="s">
        <v>3838</v>
      </c>
      <c r="B31" s="11" t="s">
        <v>901</v>
      </c>
      <c r="C31" s="11" t="s">
        <v>3839</v>
      </c>
      <c r="D31" s="12" t="s">
        <v>31</v>
      </c>
      <c r="E31" s="11" t="s">
        <v>3840</v>
      </c>
      <c r="F31" s="11" t="s">
        <v>3841</v>
      </c>
      <c r="G31" s="11" t="s">
        <v>3842</v>
      </c>
      <c r="H31" s="11" t="s">
        <v>3843</v>
      </c>
      <c r="I31" s="12" t="s">
        <v>28</v>
      </c>
      <c r="J31" s="12" t="s">
        <v>102</v>
      </c>
      <c r="K31" s="12">
        <v>30.0</v>
      </c>
      <c r="L31" s="15" t="s">
        <v>47</v>
      </c>
      <c r="M31" s="17"/>
      <c r="N31" s="17"/>
    </row>
    <row r="32" ht="14.25" customHeight="1">
      <c r="A32" s="19" t="s">
        <v>3844</v>
      </c>
      <c r="B32" s="21" t="s">
        <v>901</v>
      </c>
      <c r="C32" s="21" t="s">
        <v>3839</v>
      </c>
      <c r="D32" s="19" t="s">
        <v>31</v>
      </c>
      <c r="E32" s="21" t="s">
        <v>3845</v>
      </c>
      <c r="F32" s="21" t="s">
        <v>3846</v>
      </c>
      <c r="G32" s="21" t="s">
        <v>3847</v>
      </c>
      <c r="H32" s="21" t="s">
        <v>3848</v>
      </c>
      <c r="I32" s="19" t="s">
        <v>28</v>
      </c>
      <c r="J32" s="19" t="s">
        <v>102</v>
      </c>
      <c r="K32" s="19">
        <v>25.0</v>
      </c>
      <c r="L32" s="15" t="s">
        <v>47</v>
      </c>
      <c r="M32" s="17"/>
      <c r="N32" s="17"/>
    </row>
    <row r="33" ht="14.25" customHeight="1">
      <c r="A33" s="12" t="s">
        <v>3849</v>
      </c>
      <c r="B33" s="11" t="s">
        <v>901</v>
      </c>
      <c r="C33" s="11" t="s">
        <v>3839</v>
      </c>
      <c r="D33" s="12" t="s">
        <v>31</v>
      </c>
      <c r="E33" s="11" t="s">
        <v>3850</v>
      </c>
      <c r="F33" s="11" t="s">
        <v>3851</v>
      </c>
      <c r="G33" s="11" t="s">
        <v>3852</v>
      </c>
      <c r="H33" s="11" t="s">
        <v>3853</v>
      </c>
      <c r="I33" s="12" t="s">
        <v>29</v>
      </c>
      <c r="J33" s="12" t="s">
        <v>102</v>
      </c>
      <c r="K33" s="12">
        <v>25.0</v>
      </c>
      <c r="L33" s="15" t="s">
        <v>47</v>
      </c>
      <c r="M33" s="17"/>
      <c r="N33" s="17"/>
    </row>
    <row r="34" ht="14.25" customHeight="1">
      <c r="A34" s="19" t="s">
        <v>3854</v>
      </c>
      <c r="B34" s="21" t="s">
        <v>901</v>
      </c>
      <c r="C34" s="21" t="s">
        <v>3839</v>
      </c>
      <c r="D34" s="19" t="s">
        <v>31</v>
      </c>
      <c r="E34" s="21" t="s">
        <v>3855</v>
      </c>
      <c r="F34" s="21" t="s">
        <v>3856</v>
      </c>
      <c r="G34" s="21" t="s">
        <v>3857</v>
      </c>
      <c r="H34" s="21" t="s">
        <v>3858</v>
      </c>
      <c r="I34" s="19" t="s">
        <v>29</v>
      </c>
      <c r="J34" s="19" t="s">
        <v>102</v>
      </c>
      <c r="K34" s="19">
        <v>25.0</v>
      </c>
      <c r="L34" s="15" t="s">
        <v>47</v>
      </c>
      <c r="M34" s="17"/>
      <c r="N34" s="17"/>
    </row>
    <row r="35" ht="14.25" customHeight="1">
      <c r="A35" s="12" t="s">
        <v>3859</v>
      </c>
      <c r="B35" s="11" t="s">
        <v>901</v>
      </c>
      <c r="C35" s="11" t="s">
        <v>3839</v>
      </c>
      <c r="D35" s="12" t="s">
        <v>31</v>
      </c>
      <c r="E35" s="11" t="s">
        <v>3860</v>
      </c>
      <c r="F35" s="11" t="s">
        <v>3861</v>
      </c>
      <c r="G35" s="11" t="s">
        <v>3862</v>
      </c>
      <c r="H35" s="11" t="s">
        <v>3863</v>
      </c>
      <c r="I35" s="12" t="s">
        <v>29</v>
      </c>
      <c r="J35" s="12" t="s">
        <v>75</v>
      </c>
      <c r="K35" s="12">
        <v>20.0</v>
      </c>
      <c r="L35" s="15" t="s">
        <v>47</v>
      </c>
      <c r="M35" s="17"/>
      <c r="N35" s="17"/>
    </row>
    <row r="36" ht="14.25" customHeight="1">
      <c r="A36" s="19" t="s">
        <v>3864</v>
      </c>
      <c r="B36" s="21" t="s">
        <v>901</v>
      </c>
      <c r="C36" s="21" t="s">
        <v>3839</v>
      </c>
      <c r="D36" s="19" t="s">
        <v>31</v>
      </c>
      <c r="E36" s="21" t="s">
        <v>3860</v>
      </c>
      <c r="F36" s="21" t="s">
        <v>3865</v>
      </c>
      <c r="G36" s="21" t="s">
        <v>3866</v>
      </c>
      <c r="H36" s="21" t="s">
        <v>3867</v>
      </c>
      <c r="I36" s="19" t="s">
        <v>29</v>
      </c>
      <c r="J36" s="19" t="s">
        <v>75</v>
      </c>
      <c r="K36" s="19">
        <v>20.0</v>
      </c>
      <c r="L36" s="15" t="s">
        <v>47</v>
      </c>
      <c r="M36" s="17"/>
      <c r="N36" s="17"/>
    </row>
    <row r="37" ht="14.25" customHeight="1">
      <c r="A37" s="12" t="s">
        <v>3868</v>
      </c>
      <c r="B37" s="11" t="s">
        <v>901</v>
      </c>
      <c r="C37" s="11" t="s">
        <v>3839</v>
      </c>
      <c r="D37" s="12" t="s">
        <v>31</v>
      </c>
      <c r="E37" s="11" t="s">
        <v>3869</v>
      </c>
      <c r="F37" s="11" t="s">
        <v>3870</v>
      </c>
      <c r="G37" s="11" t="s">
        <v>3871</v>
      </c>
      <c r="H37" s="11" t="s">
        <v>3872</v>
      </c>
      <c r="I37" s="12" t="s">
        <v>28</v>
      </c>
      <c r="J37" s="12" t="s">
        <v>102</v>
      </c>
      <c r="K37" s="12">
        <v>45.0</v>
      </c>
      <c r="L37" s="15" t="s">
        <v>47</v>
      </c>
      <c r="M37" s="17"/>
      <c r="N37" s="17"/>
    </row>
    <row r="38" ht="14.25" customHeight="1"/>
    <row r="39" ht="14.25" customHeight="1">
      <c r="J39" s="3" t="s">
        <v>789</v>
      </c>
      <c r="K39" s="27">
        <f>SUM(K3:K37)</f>
        <v>1025</v>
      </c>
    </row>
    <row r="40" ht="14.25" customHeight="1">
      <c r="J40" s="3" t="s">
        <v>808</v>
      </c>
      <c r="K40" s="28">
        <f>K39/60</f>
        <v>17.08333333</v>
      </c>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37"/>
  <mergeCells count="1">
    <mergeCell ref="A1:N1"/>
  </mergeCells>
  <conditionalFormatting sqref="L3:L37">
    <cfRule type="cellIs" dxfId="0" priority="1" operator="equal">
      <formula>"Pass"</formula>
    </cfRule>
  </conditionalFormatting>
  <conditionalFormatting sqref="L3:L37">
    <cfRule type="cellIs" dxfId="1" priority="2" operator="equal">
      <formula>"Fail"</formula>
    </cfRule>
  </conditionalFormatting>
  <conditionalFormatting sqref="L3:L37">
    <cfRule type="cellIs" dxfId="2" priority="3" operator="equal">
      <formula>"Blocked"</formula>
    </cfRule>
  </conditionalFormatting>
  <dataValidations>
    <dataValidation type="list" allowBlank="1" sqref="L3:L37">
      <formula1>"Not Run,Pass,Fail,Blocked,N-A"</formula1>
    </dataValidation>
  </dataValidation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1" width="11.0"/>
    <col customWidth="1" min="2" max="2" width="20.0"/>
    <col customWidth="1" min="3" max="3" width="22.0"/>
    <col customWidth="1" min="4" max="4" width="11.0"/>
    <col customWidth="1" min="5" max="5" width="30.0"/>
    <col customWidth="1" min="6" max="7" width="42.0"/>
    <col customWidth="1" min="8" max="8" width="52.0"/>
    <col customWidth="1" min="9" max="9" width="9.0"/>
    <col customWidth="1" min="10" max="10" width="13.0"/>
    <col customWidth="1" min="11" max="12" width="12.0"/>
    <col customWidth="1" min="13" max="14" width="30.0"/>
    <col customWidth="1" min="15" max="26" width="8.71"/>
  </cols>
  <sheetData>
    <row r="1" ht="24.0" customHeight="1">
      <c r="A1" s="6" t="s">
        <v>3873</v>
      </c>
      <c r="B1" s="7"/>
      <c r="C1" s="7"/>
      <c r="D1" s="7"/>
      <c r="E1" s="7"/>
      <c r="F1" s="7"/>
      <c r="G1" s="7"/>
      <c r="H1" s="7"/>
      <c r="I1" s="7"/>
      <c r="J1" s="7"/>
      <c r="K1" s="7"/>
      <c r="L1" s="7"/>
      <c r="M1" s="7"/>
      <c r="N1" s="9"/>
    </row>
    <row r="2" ht="30.0" customHeight="1">
      <c r="A2" s="8" t="s">
        <v>32</v>
      </c>
      <c r="B2" s="8" t="s">
        <v>7</v>
      </c>
      <c r="C2" s="8" t="s">
        <v>36</v>
      </c>
      <c r="D2" s="8" t="s">
        <v>37</v>
      </c>
      <c r="E2" s="8" t="s">
        <v>39</v>
      </c>
      <c r="F2" s="8" t="s">
        <v>41</v>
      </c>
      <c r="G2" s="8" t="s">
        <v>42</v>
      </c>
      <c r="H2" s="8" t="s">
        <v>44</v>
      </c>
      <c r="I2" s="8" t="s">
        <v>46</v>
      </c>
      <c r="J2" s="8" t="s">
        <v>51</v>
      </c>
      <c r="K2" s="8" t="s">
        <v>53</v>
      </c>
      <c r="L2" s="8" t="s">
        <v>55</v>
      </c>
      <c r="M2" s="8" t="s">
        <v>56</v>
      </c>
      <c r="N2" s="8" t="s">
        <v>57</v>
      </c>
    </row>
    <row r="3" ht="14.25" customHeight="1">
      <c r="A3" s="12" t="s">
        <v>3875</v>
      </c>
      <c r="B3" s="11" t="s">
        <v>902</v>
      </c>
      <c r="C3" s="11" t="s">
        <v>732</v>
      </c>
      <c r="D3" s="12" t="s">
        <v>31</v>
      </c>
      <c r="E3" s="11" t="s">
        <v>3876</v>
      </c>
      <c r="F3" s="11" t="s">
        <v>3877</v>
      </c>
      <c r="G3" s="11" t="s">
        <v>3878</v>
      </c>
      <c r="H3" s="11" t="s">
        <v>3879</v>
      </c>
      <c r="I3" s="12" t="s">
        <v>28</v>
      </c>
      <c r="J3" s="12" t="s">
        <v>732</v>
      </c>
      <c r="K3" s="12">
        <v>45.0</v>
      </c>
      <c r="L3" s="15" t="s">
        <v>47</v>
      </c>
      <c r="M3" s="17"/>
      <c r="N3" s="17"/>
    </row>
    <row r="4" ht="14.25" customHeight="1">
      <c r="A4" s="19" t="s">
        <v>3880</v>
      </c>
      <c r="B4" s="21" t="s">
        <v>902</v>
      </c>
      <c r="C4" s="21" t="s">
        <v>732</v>
      </c>
      <c r="D4" s="19" t="s">
        <v>31</v>
      </c>
      <c r="E4" s="21" t="s">
        <v>3876</v>
      </c>
      <c r="F4" s="21" t="s">
        <v>3881</v>
      </c>
      <c r="G4" s="21" t="s">
        <v>3882</v>
      </c>
      <c r="H4" s="21" t="s">
        <v>3883</v>
      </c>
      <c r="I4" s="19" t="s">
        <v>28</v>
      </c>
      <c r="J4" s="19" t="s">
        <v>732</v>
      </c>
      <c r="K4" s="19">
        <v>45.0</v>
      </c>
      <c r="L4" s="15" t="s">
        <v>47</v>
      </c>
      <c r="M4" s="17"/>
      <c r="N4" s="17"/>
    </row>
    <row r="5" ht="14.25" customHeight="1">
      <c r="A5" s="12" t="s">
        <v>3884</v>
      </c>
      <c r="B5" s="11" t="s">
        <v>902</v>
      </c>
      <c r="C5" s="11" t="s">
        <v>732</v>
      </c>
      <c r="D5" s="12" t="s">
        <v>31</v>
      </c>
      <c r="E5" s="11" t="s">
        <v>3885</v>
      </c>
      <c r="F5" s="11" t="s">
        <v>3886</v>
      </c>
      <c r="G5" s="11" t="s">
        <v>3887</v>
      </c>
      <c r="H5" s="11" t="s">
        <v>3888</v>
      </c>
      <c r="I5" s="12" t="s">
        <v>29</v>
      </c>
      <c r="J5" s="12" t="s">
        <v>732</v>
      </c>
      <c r="K5" s="12">
        <v>30.0</v>
      </c>
      <c r="L5" s="15" t="s">
        <v>47</v>
      </c>
      <c r="M5" s="17"/>
      <c r="N5" s="17"/>
    </row>
    <row r="6" ht="14.25" customHeight="1">
      <c r="A6" s="19" t="s">
        <v>3889</v>
      </c>
      <c r="B6" s="21" t="s">
        <v>902</v>
      </c>
      <c r="C6" s="21" t="s">
        <v>732</v>
      </c>
      <c r="D6" s="19" t="s">
        <v>183</v>
      </c>
      <c r="E6" s="21" t="s">
        <v>3891</v>
      </c>
      <c r="F6" s="21" t="s">
        <v>3893</v>
      </c>
      <c r="G6" s="21" t="s">
        <v>3894</v>
      </c>
      <c r="H6" s="21" t="s">
        <v>3895</v>
      </c>
      <c r="I6" s="19" t="s">
        <v>28</v>
      </c>
      <c r="J6" s="19" t="s">
        <v>732</v>
      </c>
      <c r="K6" s="19">
        <v>45.0</v>
      </c>
      <c r="L6" s="15" t="s">
        <v>47</v>
      </c>
      <c r="M6" s="17"/>
      <c r="N6" s="17"/>
    </row>
    <row r="7" ht="14.25" customHeight="1">
      <c r="A7" s="12" t="s">
        <v>3898</v>
      </c>
      <c r="B7" s="11" t="s">
        <v>902</v>
      </c>
      <c r="C7" s="11" t="s">
        <v>124</v>
      </c>
      <c r="D7" s="12" t="s">
        <v>31</v>
      </c>
      <c r="E7" s="11" t="s">
        <v>3900</v>
      </c>
      <c r="F7" s="11" t="s">
        <v>3901</v>
      </c>
      <c r="G7" s="11" t="s">
        <v>3902</v>
      </c>
      <c r="H7" s="11" t="s">
        <v>3903</v>
      </c>
      <c r="I7" s="12" t="s">
        <v>28</v>
      </c>
      <c r="J7" s="12" t="s">
        <v>124</v>
      </c>
      <c r="K7" s="12">
        <v>45.0</v>
      </c>
      <c r="L7" s="15" t="s">
        <v>47</v>
      </c>
      <c r="M7" s="17"/>
      <c r="N7" s="17"/>
    </row>
    <row r="8" ht="14.25" customHeight="1">
      <c r="A8" s="19" t="s">
        <v>3906</v>
      </c>
      <c r="B8" s="21" t="s">
        <v>902</v>
      </c>
      <c r="C8" s="21" t="s">
        <v>124</v>
      </c>
      <c r="D8" s="19" t="s">
        <v>31</v>
      </c>
      <c r="E8" s="21" t="s">
        <v>3908</v>
      </c>
      <c r="F8" s="21" t="s">
        <v>3909</v>
      </c>
      <c r="G8" s="21" t="s">
        <v>3910</v>
      </c>
      <c r="H8" s="21" t="s">
        <v>3911</v>
      </c>
      <c r="I8" s="19" t="s">
        <v>28</v>
      </c>
      <c r="J8" s="19" t="s">
        <v>124</v>
      </c>
      <c r="K8" s="19">
        <v>35.0</v>
      </c>
      <c r="L8" s="15" t="s">
        <v>47</v>
      </c>
      <c r="M8" s="17"/>
      <c r="N8" s="17"/>
    </row>
    <row r="9" ht="14.25" customHeight="1">
      <c r="A9" s="12" t="s">
        <v>3912</v>
      </c>
      <c r="B9" s="11" t="s">
        <v>902</v>
      </c>
      <c r="C9" s="11" t="s">
        <v>124</v>
      </c>
      <c r="D9" s="12" t="s">
        <v>31</v>
      </c>
      <c r="E9" s="11" t="s">
        <v>3913</v>
      </c>
      <c r="F9" s="11" t="s">
        <v>3914</v>
      </c>
      <c r="G9" s="11" t="s">
        <v>3915</v>
      </c>
      <c r="H9" s="11" t="s">
        <v>3916</v>
      </c>
      <c r="I9" s="12" t="s">
        <v>28</v>
      </c>
      <c r="J9" s="12" t="s">
        <v>124</v>
      </c>
      <c r="K9" s="12">
        <v>60.0</v>
      </c>
      <c r="L9" s="15" t="s">
        <v>47</v>
      </c>
      <c r="M9" s="17"/>
      <c r="N9" s="17"/>
    </row>
    <row r="10" ht="14.25" customHeight="1">
      <c r="A10" s="19" t="s">
        <v>3919</v>
      </c>
      <c r="B10" s="21" t="s">
        <v>902</v>
      </c>
      <c r="C10" s="21" t="s">
        <v>124</v>
      </c>
      <c r="D10" s="19" t="s">
        <v>31</v>
      </c>
      <c r="E10" s="21" t="s">
        <v>3921</v>
      </c>
      <c r="F10" s="21" t="s">
        <v>3922</v>
      </c>
      <c r="G10" s="21" t="s">
        <v>3923</v>
      </c>
      <c r="H10" s="21" t="s">
        <v>3924</v>
      </c>
      <c r="I10" s="19" t="s">
        <v>29</v>
      </c>
      <c r="J10" s="19" t="s">
        <v>124</v>
      </c>
      <c r="K10" s="19">
        <v>45.0</v>
      </c>
      <c r="L10" s="15" t="s">
        <v>47</v>
      </c>
      <c r="M10" s="17"/>
      <c r="N10" s="17"/>
    </row>
    <row r="11" ht="14.25" customHeight="1">
      <c r="A11" s="12" t="s">
        <v>3927</v>
      </c>
      <c r="B11" s="11" t="s">
        <v>902</v>
      </c>
      <c r="C11" s="11" t="s">
        <v>124</v>
      </c>
      <c r="D11" s="12" t="s">
        <v>31</v>
      </c>
      <c r="E11" s="11" t="s">
        <v>3928</v>
      </c>
      <c r="F11" s="11" t="s">
        <v>3929</v>
      </c>
      <c r="G11" s="11" t="s">
        <v>3930</v>
      </c>
      <c r="H11" s="11" t="s">
        <v>3931</v>
      </c>
      <c r="I11" s="12" t="s">
        <v>29</v>
      </c>
      <c r="J11" s="12" t="s">
        <v>124</v>
      </c>
      <c r="K11" s="12">
        <v>45.0</v>
      </c>
      <c r="L11" s="15" t="s">
        <v>47</v>
      </c>
      <c r="M11" s="17"/>
      <c r="N11" s="17"/>
    </row>
    <row r="12" ht="14.25" customHeight="1">
      <c r="A12" s="19" t="s">
        <v>3932</v>
      </c>
      <c r="B12" s="21" t="s">
        <v>902</v>
      </c>
      <c r="C12" s="21" t="s">
        <v>124</v>
      </c>
      <c r="D12" s="19" t="s">
        <v>31</v>
      </c>
      <c r="E12" s="21" t="s">
        <v>3933</v>
      </c>
      <c r="F12" s="21" t="s">
        <v>3934</v>
      </c>
      <c r="G12" s="21" t="s">
        <v>3935</v>
      </c>
      <c r="H12" s="21" t="s">
        <v>3936</v>
      </c>
      <c r="I12" s="19" t="s">
        <v>29</v>
      </c>
      <c r="J12" s="19" t="s">
        <v>124</v>
      </c>
      <c r="K12" s="19">
        <v>30.0</v>
      </c>
      <c r="L12" s="15" t="s">
        <v>47</v>
      </c>
      <c r="M12" s="17"/>
      <c r="N12" s="17"/>
    </row>
    <row r="13" ht="14.25" customHeight="1">
      <c r="A13" s="12" t="s">
        <v>3937</v>
      </c>
      <c r="B13" s="11" t="s">
        <v>902</v>
      </c>
      <c r="C13" s="11" t="s">
        <v>114</v>
      </c>
      <c r="D13" s="12" t="s">
        <v>31</v>
      </c>
      <c r="E13" s="11" t="s">
        <v>3938</v>
      </c>
      <c r="F13" s="11" t="s">
        <v>3939</v>
      </c>
      <c r="G13" s="11" t="s">
        <v>3940</v>
      </c>
      <c r="H13" s="11" t="s">
        <v>3941</v>
      </c>
      <c r="I13" s="12" t="s">
        <v>28</v>
      </c>
      <c r="J13" s="12" t="s">
        <v>114</v>
      </c>
      <c r="K13" s="12">
        <v>40.0</v>
      </c>
      <c r="L13" s="15" t="s">
        <v>47</v>
      </c>
      <c r="M13" s="17"/>
      <c r="N13" s="17"/>
    </row>
    <row r="14" ht="14.25" customHeight="1">
      <c r="A14" s="19" t="s">
        <v>3942</v>
      </c>
      <c r="B14" s="21" t="s">
        <v>902</v>
      </c>
      <c r="C14" s="21" t="s">
        <v>114</v>
      </c>
      <c r="D14" s="19" t="s">
        <v>31</v>
      </c>
      <c r="E14" s="21" t="s">
        <v>3943</v>
      </c>
      <c r="F14" s="21" t="s">
        <v>3944</v>
      </c>
      <c r="G14" s="21" t="s">
        <v>3945</v>
      </c>
      <c r="H14" s="21" t="s">
        <v>3946</v>
      </c>
      <c r="I14" s="19" t="s">
        <v>28</v>
      </c>
      <c r="J14" s="19" t="s">
        <v>114</v>
      </c>
      <c r="K14" s="19">
        <v>35.0</v>
      </c>
      <c r="L14" s="15" t="s">
        <v>47</v>
      </c>
      <c r="M14" s="17"/>
      <c r="N14" s="17"/>
    </row>
    <row r="15" ht="14.25" customHeight="1">
      <c r="A15" s="12" t="s">
        <v>3947</v>
      </c>
      <c r="B15" s="11" t="s">
        <v>902</v>
      </c>
      <c r="C15" s="11" t="s">
        <v>114</v>
      </c>
      <c r="D15" s="12" t="s">
        <v>31</v>
      </c>
      <c r="E15" s="11" t="s">
        <v>3948</v>
      </c>
      <c r="F15" s="11" t="s">
        <v>3949</v>
      </c>
      <c r="G15" s="11" t="s">
        <v>3950</v>
      </c>
      <c r="H15" s="11" t="s">
        <v>3951</v>
      </c>
      <c r="I15" s="12" t="s">
        <v>28</v>
      </c>
      <c r="J15" s="12" t="s">
        <v>114</v>
      </c>
      <c r="K15" s="12">
        <v>45.0</v>
      </c>
      <c r="L15" s="15" t="s">
        <v>47</v>
      </c>
      <c r="M15" s="17"/>
      <c r="N15" s="17"/>
    </row>
    <row r="16" ht="14.25" customHeight="1">
      <c r="A16" s="19" t="s">
        <v>3952</v>
      </c>
      <c r="B16" s="21" t="s">
        <v>902</v>
      </c>
      <c r="C16" s="21" t="s">
        <v>114</v>
      </c>
      <c r="D16" s="19" t="s">
        <v>31</v>
      </c>
      <c r="E16" s="21" t="s">
        <v>3953</v>
      </c>
      <c r="F16" s="21" t="s">
        <v>3954</v>
      </c>
      <c r="G16" s="21" t="s">
        <v>3955</v>
      </c>
      <c r="H16" s="21" t="s">
        <v>3956</v>
      </c>
      <c r="I16" s="19" t="s">
        <v>28</v>
      </c>
      <c r="J16" s="19" t="s">
        <v>114</v>
      </c>
      <c r="K16" s="19">
        <v>35.0</v>
      </c>
      <c r="L16" s="15" t="s">
        <v>47</v>
      </c>
      <c r="M16" s="17"/>
      <c r="N16" s="17"/>
    </row>
    <row r="17" ht="14.25" customHeight="1">
      <c r="A17" s="12" t="s">
        <v>3957</v>
      </c>
      <c r="B17" s="11" t="s">
        <v>902</v>
      </c>
      <c r="C17" s="11" t="s">
        <v>114</v>
      </c>
      <c r="D17" s="12" t="s">
        <v>31</v>
      </c>
      <c r="E17" s="11" t="s">
        <v>117</v>
      </c>
      <c r="F17" s="11" t="s">
        <v>3958</v>
      </c>
      <c r="G17" s="11" t="s">
        <v>3959</v>
      </c>
      <c r="H17" s="11" t="s">
        <v>3960</v>
      </c>
      <c r="I17" s="12" t="s">
        <v>28</v>
      </c>
      <c r="J17" s="12" t="s">
        <v>114</v>
      </c>
      <c r="K17" s="12">
        <v>35.0</v>
      </c>
      <c r="L17" s="15" t="s">
        <v>47</v>
      </c>
      <c r="M17" s="17"/>
      <c r="N17" s="17"/>
    </row>
    <row r="18" ht="14.25" customHeight="1">
      <c r="A18" s="19" t="s">
        <v>3961</v>
      </c>
      <c r="B18" s="21" t="s">
        <v>902</v>
      </c>
      <c r="C18" s="21" t="s">
        <v>114</v>
      </c>
      <c r="D18" s="19" t="s">
        <v>33</v>
      </c>
      <c r="E18" s="21" t="s">
        <v>3962</v>
      </c>
      <c r="F18" s="21" t="s">
        <v>3963</v>
      </c>
      <c r="G18" s="21" t="s">
        <v>3964</v>
      </c>
      <c r="H18" s="21" t="s">
        <v>3965</v>
      </c>
      <c r="I18" s="19" t="s">
        <v>28</v>
      </c>
      <c r="J18" s="19" t="s">
        <v>114</v>
      </c>
      <c r="K18" s="19">
        <v>40.0</v>
      </c>
      <c r="L18" s="15" t="s">
        <v>47</v>
      </c>
      <c r="M18" s="17"/>
      <c r="N18" s="17"/>
    </row>
    <row r="19" ht="14.25" customHeight="1">
      <c r="A19" s="12" t="s">
        <v>3966</v>
      </c>
      <c r="B19" s="11" t="s">
        <v>902</v>
      </c>
      <c r="C19" s="11" t="s">
        <v>3569</v>
      </c>
      <c r="D19" s="12" t="s">
        <v>31</v>
      </c>
      <c r="E19" s="11" t="s">
        <v>3967</v>
      </c>
      <c r="F19" s="11" t="s">
        <v>3968</v>
      </c>
      <c r="G19" s="11" t="s">
        <v>3969</v>
      </c>
      <c r="H19" s="11" t="s">
        <v>3970</v>
      </c>
      <c r="I19" s="12" t="s">
        <v>28</v>
      </c>
      <c r="J19" s="12" t="s">
        <v>102</v>
      </c>
      <c r="K19" s="12">
        <v>40.0</v>
      </c>
      <c r="L19" s="15" t="s">
        <v>47</v>
      </c>
      <c r="M19" s="17"/>
      <c r="N19" s="17"/>
    </row>
    <row r="20" ht="14.25" customHeight="1">
      <c r="A20" s="19" t="s">
        <v>3971</v>
      </c>
      <c r="B20" s="21" t="s">
        <v>902</v>
      </c>
      <c r="C20" s="21" t="s">
        <v>3569</v>
      </c>
      <c r="D20" s="19" t="s">
        <v>31</v>
      </c>
      <c r="E20" s="21" t="s">
        <v>3972</v>
      </c>
      <c r="F20" s="21" t="s">
        <v>3973</v>
      </c>
      <c r="G20" s="21" t="s">
        <v>3974</v>
      </c>
      <c r="H20" s="21" t="s">
        <v>3975</v>
      </c>
      <c r="I20" s="19" t="s">
        <v>28</v>
      </c>
      <c r="J20" s="19" t="s">
        <v>102</v>
      </c>
      <c r="K20" s="19">
        <v>45.0</v>
      </c>
      <c r="L20" s="15" t="s">
        <v>47</v>
      </c>
      <c r="M20" s="17"/>
      <c r="N20" s="17"/>
    </row>
    <row r="21" ht="14.25" customHeight="1">
      <c r="A21" s="12" t="s">
        <v>3976</v>
      </c>
      <c r="B21" s="11" t="s">
        <v>902</v>
      </c>
      <c r="C21" s="11" t="s">
        <v>3569</v>
      </c>
      <c r="D21" s="12" t="s">
        <v>183</v>
      </c>
      <c r="E21" s="11" t="s">
        <v>3977</v>
      </c>
      <c r="F21" s="11" t="s">
        <v>3978</v>
      </c>
      <c r="G21" s="11" t="s">
        <v>3979</v>
      </c>
      <c r="H21" s="11" t="s">
        <v>3980</v>
      </c>
      <c r="I21" s="12" t="s">
        <v>28</v>
      </c>
      <c r="J21" s="12" t="s">
        <v>102</v>
      </c>
      <c r="K21" s="12">
        <v>45.0</v>
      </c>
      <c r="L21" s="15" t="s">
        <v>47</v>
      </c>
      <c r="M21" s="17"/>
      <c r="N21" s="17"/>
    </row>
    <row r="22" ht="14.25" customHeight="1">
      <c r="A22" s="19" t="s">
        <v>3981</v>
      </c>
      <c r="B22" s="21" t="s">
        <v>902</v>
      </c>
      <c r="C22" s="21" t="s">
        <v>3569</v>
      </c>
      <c r="D22" s="19" t="s">
        <v>31</v>
      </c>
      <c r="E22" s="21" t="s">
        <v>3982</v>
      </c>
      <c r="F22" s="21" t="s">
        <v>3983</v>
      </c>
      <c r="G22" s="21" t="s">
        <v>3984</v>
      </c>
      <c r="H22" s="21" t="s">
        <v>3985</v>
      </c>
      <c r="I22" s="19" t="s">
        <v>28</v>
      </c>
      <c r="J22" s="19" t="s">
        <v>102</v>
      </c>
      <c r="K22" s="19">
        <v>45.0</v>
      </c>
      <c r="L22" s="15" t="s">
        <v>47</v>
      </c>
      <c r="M22" s="17"/>
      <c r="N22" s="17"/>
    </row>
    <row r="23" ht="14.25" customHeight="1">
      <c r="A23" s="12" t="s">
        <v>3986</v>
      </c>
      <c r="B23" s="11" t="s">
        <v>902</v>
      </c>
      <c r="C23" s="11" t="s">
        <v>1465</v>
      </c>
      <c r="D23" s="12" t="s">
        <v>31</v>
      </c>
      <c r="E23" s="11" t="s">
        <v>3987</v>
      </c>
      <c r="F23" s="11" t="s">
        <v>3988</v>
      </c>
      <c r="G23" s="11" t="s">
        <v>3989</v>
      </c>
      <c r="H23" s="11" t="s">
        <v>3990</v>
      </c>
      <c r="I23" s="12" t="s">
        <v>28</v>
      </c>
      <c r="J23" s="12" t="s">
        <v>1465</v>
      </c>
      <c r="K23" s="12">
        <v>60.0</v>
      </c>
      <c r="L23" s="15" t="s">
        <v>47</v>
      </c>
      <c r="M23" s="17"/>
      <c r="N23" s="17"/>
    </row>
    <row r="24" ht="14.25" customHeight="1">
      <c r="A24" s="19" t="s">
        <v>3991</v>
      </c>
      <c r="B24" s="21" t="s">
        <v>902</v>
      </c>
      <c r="C24" s="21" t="s">
        <v>1465</v>
      </c>
      <c r="D24" s="19" t="s">
        <v>183</v>
      </c>
      <c r="E24" s="21" t="s">
        <v>3992</v>
      </c>
      <c r="F24" s="21" t="s">
        <v>3993</v>
      </c>
      <c r="G24" s="21" t="s">
        <v>3994</v>
      </c>
      <c r="H24" s="21" t="s">
        <v>3995</v>
      </c>
      <c r="I24" s="19" t="s">
        <v>28</v>
      </c>
      <c r="J24" s="19" t="s">
        <v>3996</v>
      </c>
      <c r="K24" s="19">
        <v>60.0</v>
      </c>
      <c r="L24" s="15" t="s">
        <v>47</v>
      </c>
      <c r="M24" s="17"/>
      <c r="N24" s="17"/>
    </row>
    <row r="25" ht="14.25" customHeight="1">
      <c r="A25" s="12" t="s">
        <v>3997</v>
      </c>
      <c r="B25" s="11" t="s">
        <v>902</v>
      </c>
      <c r="C25" s="11" t="s">
        <v>1465</v>
      </c>
      <c r="D25" s="12" t="s">
        <v>31</v>
      </c>
      <c r="E25" s="11" t="s">
        <v>3992</v>
      </c>
      <c r="F25" s="11" t="s">
        <v>3998</v>
      </c>
      <c r="G25" s="11" t="s">
        <v>3999</v>
      </c>
      <c r="H25" s="11" t="s">
        <v>4000</v>
      </c>
      <c r="I25" s="12" t="s">
        <v>28</v>
      </c>
      <c r="J25" s="12" t="s">
        <v>3996</v>
      </c>
      <c r="K25" s="12">
        <v>15.0</v>
      </c>
      <c r="L25" s="15" t="s">
        <v>47</v>
      </c>
      <c r="M25" s="17"/>
      <c r="N25" s="17"/>
    </row>
    <row r="26" ht="14.25" customHeight="1">
      <c r="A26" s="19" t="s">
        <v>4001</v>
      </c>
      <c r="B26" s="21" t="s">
        <v>902</v>
      </c>
      <c r="C26" s="21" t="s">
        <v>4002</v>
      </c>
      <c r="D26" s="19" t="s">
        <v>31</v>
      </c>
      <c r="E26" s="21" t="s">
        <v>4003</v>
      </c>
      <c r="F26" s="21" t="s">
        <v>4004</v>
      </c>
      <c r="G26" s="21" t="s">
        <v>4005</v>
      </c>
      <c r="H26" s="21" t="s">
        <v>4006</v>
      </c>
      <c r="I26" s="19" t="s">
        <v>29</v>
      </c>
      <c r="J26" s="19" t="s">
        <v>4002</v>
      </c>
      <c r="K26" s="19">
        <v>30.0</v>
      </c>
      <c r="L26" s="15" t="s">
        <v>47</v>
      </c>
      <c r="M26" s="17"/>
      <c r="N26" s="17"/>
    </row>
    <row r="27" ht="14.25" customHeight="1">
      <c r="A27" s="12" t="s">
        <v>4007</v>
      </c>
      <c r="B27" s="11" t="s">
        <v>902</v>
      </c>
      <c r="C27" s="11" t="s">
        <v>4002</v>
      </c>
      <c r="D27" s="12" t="s">
        <v>31</v>
      </c>
      <c r="E27" s="11" t="s">
        <v>4008</v>
      </c>
      <c r="F27" s="11" t="s">
        <v>4009</v>
      </c>
      <c r="G27" s="11" t="s">
        <v>4010</v>
      </c>
      <c r="H27" s="11" t="s">
        <v>4011</v>
      </c>
      <c r="I27" s="12" t="s">
        <v>29</v>
      </c>
      <c r="J27" s="12" t="s">
        <v>4002</v>
      </c>
      <c r="K27" s="12">
        <v>30.0</v>
      </c>
      <c r="L27" s="15" t="s">
        <v>47</v>
      </c>
      <c r="M27" s="17"/>
      <c r="N27" s="17"/>
    </row>
    <row r="28" ht="14.25" customHeight="1">
      <c r="A28" s="19" t="s">
        <v>4012</v>
      </c>
      <c r="B28" s="21" t="s">
        <v>902</v>
      </c>
      <c r="C28" s="21" t="s">
        <v>4002</v>
      </c>
      <c r="D28" s="19" t="s">
        <v>31</v>
      </c>
      <c r="E28" s="21" t="s">
        <v>4013</v>
      </c>
      <c r="F28" s="21" t="s">
        <v>4014</v>
      </c>
      <c r="G28" s="21" t="s">
        <v>4015</v>
      </c>
      <c r="H28" s="21" t="s">
        <v>4016</v>
      </c>
      <c r="I28" s="19" t="s">
        <v>29</v>
      </c>
      <c r="J28" s="19" t="s">
        <v>4002</v>
      </c>
      <c r="K28" s="19">
        <v>35.0</v>
      </c>
      <c r="L28" s="15" t="s">
        <v>47</v>
      </c>
      <c r="M28" s="17"/>
      <c r="N28" s="17"/>
    </row>
    <row r="29" ht="14.25" customHeight="1">
      <c r="A29" s="12" t="s">
        <v>4017</v>
      </c>
      <c r="B29" s="11" t="s">
        <v>902</v>
      </c>
      <c r="C29" s="11" t="s">
        <v>784</v>
      </c>
      <c r="D29" s="12" t="s">
        <v>31</v>
      </c>
      <c r="E29" s="11" t="s">
        <v>117</v>
      </c>
      <c r="F29" s="11" t="s">
        <v>4018</v>
      </c>
      <c r="G29" s="11" t="s">
        <v>4019</v>
      </c>
      <c r="H29" s="11" t="s">
        <v>4020</v>
      </c>
      <c r="I29" s="12" t="s">
        <v>30</v>
      </c>
      <c r="J29" s="12" t="s">
        <v>784</v>
      </c>
      <c r="K29" s="12">
        <v>35.0</v>
      </c>
      <c r="L29" s="15" t="s">
        <v>47</v>
      </c>
      <c r="M29" s="17"/>
      <c r="N29" s="17"/>
    </row>
    <row r="30" ht="14.25" customHeight="1">
      <c r="A30" s="19" t="s">
        <v>4021</v>
      </c>
      <c r="B30" s="21" t="s">
        <v>902</v>
      </c>
      <c r="C30" s="21" t="s">
        <v>784</v>
      </c>
      <c r="D30" s="19" t="s">
        <v>31</v>
      </c>
      <c r="E30" s="21" t="s">
        <v>117</v>
      </c>
      <c r="F30" s="21" t="s">
        <v>4022</v>
      </c>
      <c r="G30" s="21" t="s">
        <v>4023</v>
      </c>
      <c r="H30" s="21" t="s">
        <v>4024</v>
      </c>
      <c r="I30" s="19" t="s">
        <v>30</v>
      </c>
      <c r="J30" s="19" t="s">
        <v>784</v>
      </c>
      <c r="K30" s="19">
        <v>30.0</v>
      </c>
      <c r="L30" s="15" t="s">
        <v>47</v>
      </c>
      <c r="M30" s="17"/>
      <c r="N30" s="17"/>
    </row>
    <row r="31" ht="14.25" customHeight="1">
      <c r="A31" s="12" t="s">
        <v>4025</v>
      </c>
      <c r="B31" s="11" t="s">
        <v>902</v>
      </c>
      <c r="C31" s="11" t="s">
        <v>2845</v>
      </c>
      <c r="D31" s="12" t="s">
        <v>31</v>
      </c>
      <c r="E31" s="11" t="s">
        <v>4026</v>
      </c>
      <c r="F31" s="11" t="s">
        <v>4027</v>
      </c>
      <c r="G31" s="11" t="s">
        <v>4028</v>
      </c>
      <c r="H31" s="11" t="s">
        <v>4029</v>
      </c>
      <c r="I31" s="12" t="s">
        <v>28</v>
      </c>
      <c r="J31" s="12" t="s">
        <v>103</v>
      </c>
      <c r="K31" s="12">
        <v>40.0</v>
      </c>
      <c r="L31" s="15" t="s">
        <v>47</v>
      </c>
      <c r="M31" s="17"/>
      <c r="N31" s="17"/>
    </row>
    <row r="32" ht="14.25" customHeight="1">
      <c r="A32" s="19" t="s">
        <v>4031</v>
      </c>
      <c r="B32" s="21" t="s">
        <v>902</v>
      </c>
      <c r="C32" s="21" t="s">
        <v>2845</v>
      </c>
      <c r="D32" s="19" t="s">
        <v>183</v>
      </c>
      <c r="E32" s="21" t="s">
        <v>4033</v>
      </c>
      <c r="F32" s="21" t="s">
        <v>4034</v>
      </c>
      <c r="G32" s="21" t="s">
        <v>4035</v>
      </c>
      <c r="H32" s="21" t="s">
        <v>4036</v>
      </c>
      <c r="I32" s="19" t="s">
        <v>28</v>
      </c>
      <c r="J32" s="19" t="s">
        <v>103</v>
      </c>
      <c r="K32" s="19">
        <v>45.0</v>
      </c>
      <c r="L32" s="15" t="s">
        <v>47</v>
      </c>
      <c r="M32" s="17"/>
      <c r="N32" s="17"/>
    </row>
    <row r="33" ht="14.25" customHeight="1"/>
    <row r="34" ht="14.25" customHeight="1">
      <c r="J34" s="3" t="s">
        <v>789</v>
      </c>
      <c r="K34" s="27">
        <f>SUM(K3:K32)</f>
        <v>1210</v>
      </c>
    </row>
    <row r="35" ht="14.25" customHeight="1">
      <c r="J35" s="3" t="s">
        <v>808</v>
      </c>
      <c r="K35" s="28">
        <f>K34/60</f>
        <v>20.16666667</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2:$N$32"/>
  <mergeCells count="1">
    <mergeCell ref="A1:N1"/>
  </mergeCells>
  <conditionalFormatting sqref="L3:L32">
    <cfRule type="cellIs" dxfId="0" priority="1" operator="equal">
      <formula>"Pass"</formula>
    </cfRule>
  </conditionalFormatting>
  <conditionalFormatting sqref="L3:L32">
    <cfRule type="cellIs" dxfId="1" priority="2" operator="equal">
      <formula>"Fail"</formula>
    </cfRule>
  </conditionalFormatting>
  <conditionalFormatting sqref="L3:L32">
    <cfRule type="cellIs" dxfId="2" priority="3" operator="equal">
      <formula>"Blocked"</formula>
    </cfRule>
  </conditionalFormatting>
  <dataValidations>
    <dataValidation type="list" allowBlank="1" sqref="L3:L32">
      <formula1>"Not Run,Pass,Fail,Blocked,N-A"</formula1>
    </dataValidation>
  </dataValidation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0006"/>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0"/>
    <col customWidth="1" min="2" max="2" width="14.0"/>
    <col customWidth="1" min="3" max="3" width="22.0"/>
    <col customWidth="1" min="4" max="4" width="12.0"/>
    <col customWidth="1" min="5" max="6" width="45.0"/>
    <col customWidth="1" min="7" max="8" width="11.0"/>
    <col customWidth="1" min="9" max="9" width="15.0"/>
    <col customWidth="1" min="10" max="10" width="32.0"/>
    <col customWidth="1" min="11" max="26" width="8.71"/>
  </cols>
  <sheetData>
    <row r="1" ht="24.0" customHeight="1">
      <c r="A1" s="36" t="s">
        <v>3874</v>
      </c>
      <c r="B1" s="7"/>
      <c r="C1" s="7"/>
      <c r="D1" s="7"/>
      <c r="E1" s="7"/>
      <c r="F1" s="7"/>
      <c r="G1" s="7"/>
      <c r="H1" s="7"/>
      <c r="I1" s="7"/>
      <c r="J1" s="9"/>
    </row>
    <row r="2" ht="27.75" customHeight="1">
      <c r="A2" s="8" t="s">
        <v>3890</v>
      </c>
      <c r="B2" s="8" t="s">
        <v>3892</v>
      </c>
      <c r="C2" s="8" t="s">
        <v>7</v>
      </c>
      <c r="D2" s="8" t="s">
        <v>37</v>
      </c>
      <c r="E2" s="8" t="s">
        <v>3896</v>
      </c>
      <c r="F2" s="8" t="s">
        <v>3897</v>
      </c>
      <c r="G2" s="8" t="s">
        <v>3899</v>
      </c>
      <c r="H2" s="8" t="s">
        <v>55</v>
      </c>
      <c r="I2" s="8" t="s">
        <v>3904</v>
      </c>
      <c r="J2" s="8" t="s">
        <v>3905</v>
      </c>
    </row>
    <row r="3" ht="14.25" customHeight="1">
      <c r="A3" s="37" t="s">
        <v>3907</v>
      </c>
      <c r="B3" s="37" t="s">
        <v>1772</v>
      </c>
      <c r="C3" s="37" t="s">
        <v>367</v>
      </c>
      <c r="D3" s="37" t="s">
        <v>31</v>
      </c>
      <c r="E3" s="37" t="s">
        <v>3917</v>
      </c>
      <c r="F3" s="37" t="s">
        <v>3918</v>
      </c>
      <c r="G3" s="37" t="s">
        <v>3920</v>
      </c>
      <c r="H3" s="37" t="s">
        <v>3925</v>
      </c>
      <c r="I3" s="37" t="s">
        <v>15</v>
      </c>
      <c r="J3" s="37" t="s">
        <v>3926</v>
      </c>
    </row>
    <row r="4" ht="14.25" customHeight="1">
      <c r="A4" s="11"/>
      <c r="B4" s="11"/>
      <c r="C4" s="11"/>
      <c r="D4" s="11"/>
      <c r="E4" s="11"/>
      <c r="F4" s="11"/>
      <c r="G4" s="11"/>
      <c r="H4" s="11"/>
      <c r="I4" s="11"/>
      <c r="J4" s="11"/>
    </row>
    <row r="5" ht="14.25" customHeight="1">
      <c r="A5" s="11"/>
      <c r="B5" s="11"/>
      <c r="C5" s="11"/>
      <c r="D5" s="11"/>
      <c r="E5" s="11"/>
      <c r="F5" s="11"/>
      <c r="G5" s="11"/>
      <c r="H5" s="11"/>
      <c r="I5" s="11"/>
      <c r="J5" s="11"/>
    </row>
    <row r="6" ht="14.25" customHeight="1">
      <c r="A6" s="11"/>
      <c r="B6" s="11"/>
      <c r="C6" s="11"/>
      <c r="D6" s="11"/>
      <c r="E6" s="11"/>
      <c r="F6" s="11"/>
      <c r="G6" s="11"/>
      <c r="H6" s="11"/>
      <c r="I6" s="11"/>
      <c r="J6" s="11"/>
    </row>
    <row r="7" ht="14.25" customHeight="1">
      <c r="A7" s="11"/>
      <c r="B7" s="11"/>
      <c r="C7" s="11"/>
      <c r="D7" s="11"/>
      <c r="E7" s="11"/>
      <c r="F7" s="11"/>
      <c r="G7" s="11"/>
      <c r="H7" s="11"/>
      <c r="I7" s="11"/>
      <c r="J7" s="11"/>
    </row>
    <row r="8" ht="14.25" customHeight="1">
      <c r="A8" s="11"/>
      <c r="B8" s="11"/>
      <c r="C8" s="11"/>
      <c r="D8" s="11"/>
      <c r="E8" s="11"/>
      <c r="F8" s="11"/>
      <c r="G8" s="11"/>
      <c r="H8" s="11"/>
      <c r="I8" s="11"/>
      <c r="J8" s="11"/>
    </row>
    <row r="9" ht="14.25" customHeight="1">
      <c r="A9" s="11"/>
      <c r="B9" s="11"/>
      <c r="C9" s="11"/>
      <c r="D9" s="11"/>
      <c r="E9" s="11"/>
      <c r="F9" s="11"/>
      <c r="G9" s="11"/>
      <c r="H9" s="11"/>
      <c r="I9" s="11"/>
      <c r="J9" s="11"/>
    </row>
    <row r="10" ht="14.25" customHeight="1">
      <c r="A10" s="11"/>
      <c r="B10" s="11"/>
      <c r="C10" s="11"/>
      <c r="D10" s="11"/>
      <c r="E10" s="11"/>
      <c r="F10" s="11"/>
      <c r="G10" s="11"/>
      <c r="H10" s="11"/>
      <c r="I10" s="11"/>
      <c r="J10" s="11"/>
    </row>
    <row r="11" ht="14.25" customHeight="1">
      <c r="A11" s="11"/>
      <c r="B11" s="11"/>
      <c r="C11" s="11"/>
      <c r="D11" s="11"/>
      <c r="E11" s="11"/>
      <c r="F11" s="11"/>
      <c r="G11" s="11"/>
      <c r="H11" s="11"/>
      <c r="I11" s="11"/>
      <c r="J11" s="11"/>
    </row>
    <row r="12" ht="14.25" customHeight="1">
      <c r="A12" s="11"/>
      <c r="B12" s="11"/>
      <c r="C12" s="11"/>
      <c r="D12" s="11"/>
      <c r="E12" s="11"/>
      <c r="F12" s="11"/>
      <c r="G12" s="11"/>
      <c r="H12" s="11"/>
      <c r="I12" s="11"/>
      <c r="J12" s="11"/>
    </row>
    <row r="13" ht="14.25" customHeight="1">
      <c r="A13" s="11"/>
      <c r="B13" s="11"/>
      <c r="C13" s="11"/>
      <c r="D13" s="11"/>
      <c r="E13" s="11"/>
      <c r="F13" s="11"/>
      <c r="G13" s="11"/>
      <c r="H13" s="11"/>
      <c r="I13" s="11"/>
      <c r="J13" s="11"/>
    </row>
    <row r="14" ht="14.25" customHeight="1">
      <c r="A14" s="11"/>
      <c r="B14" s="11"/>
      <c r="C14" s="11"/>
      <c r="D14" s="11"/>
      <c r="E14" s="11"/>
      <c r="F14" s="11"/>
      <c r="G14" s="11"/>
      <c r="H14" s="11"/>
      <c r="I14" s="11"/>
      <c r="J14" s="11"/>
    </row>
    <row r="15" ht="14.25" customHeight="1">
      <c r="A15" s="11"/>
      <c r="B15" s="11"/>
      <c r="C15" s="11"/>
      <c r="D15" s="11"/>
      <c r="E15" s="11"/>
      <c r="F15" s="11"/>
      <c r="G15" s="11"/>
      <c r="H15" s="11"/>
      <c r="I15" s="11"/>
      <c r="J15" s="11"/>
    </row>
    <row r="16" ht="14.25" customHeight="1">
      <c r="A16" s="11"/>
      <c r="B16" s="11"/>
      <c r="C16" s="11"/>
      <c r="D16" s="11"/>
      <c r="E16" s="11"/>
      <c r="F16" s="11"/>
      <c r="G16" s="11"/>
      <c r="H16" s="11"/>
      <c r="I16" s="11"/>
      <c r="J16" s="11"/>
    </row>
    <row r="17" ht="14.25" customHeight="1">
      <c r="A17" s="11"/>
      <c r="B17" s="11"/>
      <c r="C17" s="11"/>
      <c r="D17" s="11"/>
      <c r="E17" s="11"/>
      <c r="F17" s="11"/>
      <c r="G17" s="11"/>
      <c r="H17" s="11"/>
      <c r="I17" s="11"/>
      <c r="J17" s="11"/>
    </row>
    <row r="18" ht="14.25" customHeight="1">
      <c r="A18" s="11"/>
      <c r="B18" s="11"/>
      <c r="C18" s="11"/>
      <c r="D18" s="11"/>
      <c r="E18" s="11"/>
      <c r="F18" s="11"/>
      <c r="G18" s="11"/>
      <c r="H18" s="11"/>
      <c r="I18" s="11"/>
      <c r="J18" s="11"/>
    </row>
    <row r="19" ht="14.25" customHeight="1">
      <c r="A19" s="11"/>
      <c r="B19" s="11"/>
      <c r="C19" s="11"/>
      <c r="D19" s="11"/>
      <c r="E19" s="11"/>
      <c r="F19" s="11"/>
      <c r="G19" s="11"/>
      <c r="H19" s="11"/>
      <c r="I19" s="11"/>
      <c r="J19" s="11"/>
    </row>
    <row r="20" ht="14.25" customHeight="1">
      <c r="A20" s="11"/>
      <c r="B20" s="11"/>
      <c r="C20" s="11"/>
      <c r="D20" s="11"/>
      <c r="E20" s="11"/>
      <c r="F20" s="11"/>
      <c r="G20" s="11"/>
      <c r="H20" s="11"/>
      <c r="I20" s="11"/>
      <c r="J20" s="11"/>
    </row>
    <row r="21" ht="14.25" customHeight="1">
      <c r="A21" s="11"/>
      <c r="B21" s="11"/>
      <c r="C21" s="11"/>
      <c r="D21" s="11"/>
      <c r="E21" s="11"/>
      <c r="F21" s="11"/>
      <c r="G21" s="11"/>
      <c r="H21" s="11"/>
      <c r="I21" s="11"/>
      <c r="J21" s="11"/>
    </row>
    <row r="22" ht="14.25" customHeight="1">
      <c r="A22" s="11"/>
      <c r="B22" s="11"/>
      <c r="C22" s="11"/>
      <c r="D22" s="11"/>
      <c r="E22" s="11"/>
      <c r="F22" s="11"/>
      <c r="G22" s="11"/>
      <c r="H22" s="11"/>
      <c r="I22" s="11"/>
      <c r="J22" s="11"/>
    </row>
    <row r="23" ht="14.25" customHeight="1">
      <c r="A23" s="11"/>
      <c r="B23" s="11"/>
      <c r="C23" s="11"/>
      <c r="D23" s="11"/>
      <c r="E23" s="11"/>
      <c r="F23" s="11"/>
      <c r="G23" s="11"/>
      <c r="H23" s="11"/>
      <c r="I23" s="11"/>
      <c r="J23" s="11"/>
    </row>
    <row r="24" ht="14.25" customHeight="1">
      <c r="A24" s="11"/>
      <c r="B24" s="11"/>
      <c r="C24" s="11"/>
      <c r="D24" s="11"/>
      <c r="E24" s="11"/>
      <c r="F24" s="11"/>
      <c r="G24" s="11"/>
      <c r="H24" s="11"/>
      <c r="I24" s="11"/>
      <c r="J24" s="11"/>
    </row>
    <row r="25" ht="14.25" customHeight="1">
      <c r="A25" s="11"/>
      <c r="B25" s="11"/>
      <c r="C25" s="11"/>
      <c r="D25" s="11"/>
      <c r="E25" s="11"/>
      <c r="F25" s="11"/>
      <c r="G25" s="11"/>
      <c r="H25" s="11"/>
      <c r="I25" s="11"/>
      <c r="J25" s="11"/>
    </row>
    <row r="26" ht="14.25" customHeight="1">
      <c r="A26" s="11"/>
      <c r="B26" s="11"/>
      <c r="C26" s="11"/>
      <c r="D26" s="11"/>
      <c r="E26" s="11"/>
      <c r="F26" s="11"/>
      <c r="G26" s="11"/>
      <c r="H26" s="11"/>
      <c r="I26" s="11"/>
      <c r="J26" s="11"/>
    </row>
    <row r="27" ht="14.25" customHeight="1">
      <c r="A27" s="11"/>
      <c r="B27" s="11"/>
      <c r="C27" s="11"/>
      <c r="D27" s="11"/>
      <c r="E27" s="11"/>
      <c r="F27" s="11"/>
      <c r="G27" s="11"/>
      <c r="H27" s="11"/>
      <c r="I27" s="11"/>
      <c r="J27" s="11"/>
    </row>
    <row r="28" ht="14.25" customHeight="1">
      <c r="A28" s="11"/>
      <c r="B28" s="11"/>
      <c r="C28" s="11"/>
      <c r="D28" s="11"/>
      <c r="E28" s="11"/>
      <c r="F28" s="11"/>
      <c r="G28" s="11"/>
      <c r="H28" s="11"/>
      <c r="I28" s="11"/>
      <c r="J28" s="11"/>
    </row>
    <row r="29" ht="14.25" customHeight="1">
      <c r="A29" s="11"/>
      <c r="B29" s="11"/>
      <c r="C29" s="11"/>
      <c r="D29" s="11"/>
      <c r="E29" s="11"/>
      <c r="F29" s="11"/>
      <c r="G29" s="11"/>
      <c r="H29" s="11"/>
      <c r="I29" s="11"/>
      <c r="J29" s="11"/>
    </row>
    <row r="30" ht="14.25" customHeight="1">
      <c r="A30" s="11"/>
      <c r="B30" s="11"/>
      <c r="C30" s="11"/>
      <c r="D30" s="11"/>
      <c r="E30" s="11"/>
      <c r="F30" s="11"/>
      <c r="G30" s="11"/>
      <c r="H30" s="11"/>
      <c r="I30" s="11"/>
      <c r="J30" s="11"/>
    </row>
    <row r="31" ht="14.25" customHeight="1">
      <c r="A31" s="11"/>
      <c r="B31" s="11"/>
      <c r="C31" s="11"/>
      <c r="D31" s="11"/>
      <c r="E31" s="11"/>
      <c r="F31" s="11"/>
      <c r="G31" s="11"/>
      <c r="H31" s="11"/>
      <c r="I31" s="11"/>
      <c r="J31" s="11"/>
    </row>
    <row r="32" ht="14.25" customHeight="1">
      <c r="A32" s="11"/>
      <c r="B32" s="11"/>
      <c r="C32" s="11"/>
      <c r="D32" s="11"/>
      <c r="E32" s="11"/>
      <c r="F32" s="11"/>
      <c r="G32" s="11"/>
      <c r="H32" s="11"/>
      <c r="I32" s="11"/>
      <c r="J32" s="11"/>
    </row>
    <row r="33" ht="14.25" customHeight="1">
      <c r="A33" s="11"/>
      <c r="B33" s="11"/>
      <c r="C33" s="11"/>
      <c r="D33" s="11"/>
      <c r="E33" s="11"/>
      <c r="F33" s="11"/>
      <c r="G33" s="11"/>
      <c r="H33" s="11"/>
      <c r="I33" s="11"/>
      <c r="J33" s="11"/>
    </row>
    <row r="34" ht="14.25" customHeight="1">
      <c r="A34" s="11"/>
      <c r="B34" s="11"/>
      <c r="C34" s="11"/>
      <c r="D34" s="11"/>
      <c r="E34" s="11"/>
      <c r="F34" s="11"/>
      <c r="G34" s="11"/>
      <c r="H34" s="11"/>
      <c r="I34" s="11"/>
      <c r="J34" s="11"/>
    </row>
    <row r="35" ht="14.25" customHeight="1">
      <c r="A35" s="11"/>
      <c r="B35" s="11"/>
      <c r="C35" s="11"/>
      <c r="D35" s="11"/>
      <c r="E35" s="11"/>
      <c r="F35" s="11"/>
      <c r="G35" s="11"/>
      <c r="H35" s="11"/>
      <c r="I35" s="11"/>
      <c r="J35" s="11"/>
    </row>
    <row r="36" ht="14.25" customHeight="1">
      <c r="A36" s="11"/>
      <c r="B36" s="11"/>
      <c r="C36" s="11"/>
      <c r="D36" s="11"/>
      <c r="E36" s="11"/>
      <c r="F36" s="11"/>
      <c r="G36" s="11"/>
      <c r="H36" s="11"/>
      <c r="I36" s="11"/>
      <c r="J36" s="11"/>
    </row>
    <row r="37" ht="14.25" customHeight="1">
      <c r="A37" s="11"/>
      <c r="B37" s="11"/>
      <c r="C37" s="11"/>
      <c r="D37" s="11"/>
      <c r="E37" s="11"/>
      <c r="F37" s="11"/>
      <c r="G37" s="11"/>
      <c r="H37" s="11"/>
      <c r="I37" s="11"/>
      <c r="J37" s="11"/>
    </row>
    <row r="38" ht="14.25" customHeight="1">
      <c r="A38" s="11"/>
      <c r="B38" s="11"/>
      <c r="C38" s="11"/>
      <c r="D38" s="11"/>
      <c r="E38" s="11"/>
      <c r="F38" s="11"/>
      <c r="G38" s="11"/>
      <c r="H38" s="11"/>
      <c r="I38" s="11"/>
      <c r="J38" s="11"/>
    </row>
    <row r="39" ht="14.25" customHeight="1">
      <c r="A39" s="11"/>
      <c r="B39" s="11"/>
      <c r="C39" s="11"/>
      <c r="D39" s="11"/>
      <c r="E39" s="11"/>
      <c r="F39" s="11"/>
      <c r="G39" s="11"/>
      <c r="H39" s="11"/>
      <c r="I39" s="11"/>
      <c r="J39" s="11"/>
    </row>
    <row r="40" ht="14.25" customHeight="1">
      <c r="A40" s="11"/>
      <c r="B40" s="11"/>
      <c r="C40" s="11"/>
      <c r="D40" s="11"/>
      <c r="E40" s="11"/>
      <c r="F40" s="11"/>
      <c r="G40" s="11"/>
      <c r="H40" s="11"/>
      <c r="I40" s="11"/>
      <c r="J40" s="11"/>
    </row>
    <row r="41" ht="14.25" customHeight="1">
      <c r="A41" s="11"/>
      <c r="B41" s="11"/>
      <c r="C41" s="11"/>
      <c r="D41" s="11"/>
      <c r="E41" s="11"/>
      <c r="F41" s="11"/>
      <c r="G41" s="11"/>
      <c r="H41" s="11"/>
      <c r="I41" s="11"/>
      <c r="J41" s="11"/>
    </row>
    <row r="42" ht="14.25" customHeight="1">
      <c r="A42" s="11"/>
      <c r="B42" s="11"/>
      <c r="C42" s="11"/>
      <c r="D42" s="11"/>
      <c r="E42" s="11"/>
      <c r="F42" s="11"/>
      <c r="G42" s="11"/>
      <c r="H42" s="11"/>
      <c r="I42" s="11"/>
      <c r="J42" s="11"/>
    </row>
    <row r="43" ht="14.25" customHeight="1">
      <c r="A43" s="11"/>
      <c r="B43" s="11"/>
      <c r="C43" s="11"/>
      <c r="D43" s="11"/>
      <c r="E43" s="11"/>
      <c r="F43" s="11"/>
      <c r="G43" s="11"/>
      <c r="H43" s="11"/>
      <c r="I43" s="11"/>
      <c r="J43" s="11"/>
    </row>
    <row r="44" ht="14.25" customHeight="1">
      <c r="A44" s="11"/>
      <c r="B44" s="11"/>
      <c r="C44" s="11"/>
      <c r="D44" s="11"/>
      <c r="E44" s="11"/>
      <c r="F44" s="11"/>
      <c r="G44" s="11"/>
      <c r="H44" s="11"/>
      <c r="I44" s="11"/>
      <c r="J44" s="11"/>
    </row>
    <row r="45" ht="14.25" customHeight="1">
      <c r="A45" s="11"/>
      <c r="B45" s="11"/>
      <c r="C45" s="11"/>
      <c r="D45" s="11"/>
      <c r="E45" s="11"/>
      <c r="F45" s="11"/>
      <c r="G45" s="11"/>
      <c r="H45" s="11"/>
      <c r="I45" s="11"/>
      <c r="J45" s="11"/>
    </row>
    <row r="46" ht="14.25" customHeight="1">
      <c r="A46" s="11"/>
      <c r="B46" s="11"/>
      <c r="C46" s="11"/>
      <c r="D46" s="11"/>
      <c r="E46" s="11"/>
      <c r="F46" s="11"/>
      <c r="G46" s="11"/>
      <c r="H46" s="11"/>
      <c r="I46" s="11"/>
      <c r="J46" s="11"/>
    </row>
    <row r="47" ht="14.25" customHeight="1">
      <c r="A47" s="11"/>
      <c r="B47" s="11"/>
      <c r="C47" s="11"/>
      <c r="D47" s="11"/>
      <c r="E47" s="11"/>
      <c r="F47" s="11"/>
      <c r="G47" s="11"/>
      <c r="H47" s="11"/>
      <c r="I47" s="11"/>
      <c r="J47" s="11"/>
    </row>
    <row r="48" ht="14.25" customHeight="1">
      <c r="A48" s="11"/>
      <c r="B48" s="11"/>
      <c r="C48" s="11"/>
      <c r="D48" s="11"/>
      <c r="E48" s="11"/>
      <c r="F48" s="11"/>
      <c r="G48" s="11"/>
      <c r="H48" s="11"/>
      <c r="I48" s="11"/>
      <c r="J48" s="11"/>
    </row>
    <row r="49" ht="14.25" customHeight="1">
      <c r="A49" s="11"/>
      <c r="B49" s="11"/>
      <c r="C49" s="11"/>
      <c r="D49" s="11"/>
      <c r="E49" s="11"/>
      <c r="F49" s="11"/>
      <c r="G49" s="11"/>
      <c r="H49" s="11"/>
      <c r="I49" s="11"/>
      <c r="J49" s="11"/>
    </row>
    <row r="50" ht="14.25" customHeight="1">
      <c r="A50" s="11"/>
      <c r="B50" s="11"/>
      <c r="C50" s="11"/>
      <c r="D50" s="11"/>
      <c r="E50" s="11"/>
      <c r="F50" s="11"/>
      <c r="G50" s="11"/>
      <c r="H50" s="11"/>
      <c r="I50" s="11"/>
      <c r="J50" s="11"/>
    </row>
    <row r="51" ht="14.25" customHeight="1">
      <c r="A51" s="11"/>
      <c r="B51" s="11"/>
      <c r="C51" s="11"/>
      <c r="D51" s="11"/>
      <c r="E51" s="11"/>
      <c r="F51" s="11"/>
      <c r="G51" s="11"/>
      <c r="H51" s="11"/>
      <c r="I51" s="11"/>
      <c r="J51" s="11"/>
    </row>
    <row r="52" ht="14.25" customHeight="1">
      <c r="A52" s="11"/>
      <c r="B52" s="11"/>
      <c r="C52" s="11"/>
      <c r="D52" s="11"/>
      <c r="E52" s="11"/>
      <c r="F52" s="11"/>
      <c r="G52" s="11"/>
      <c r="H52" s="11"/>
      <c r="I52" s="11"/>
      <c r="J52" s="11"/>
    </row>
    <row r="53" ht="14.25" customHeight="1">
      <c r="A53" s="11"/>
      <c r="B53" s="11"/>
      <c r="C53" s="11"/>
      <c r="D53" s="11"/>
      <c r="E53" s="11"/>
      <c r="F53" s="11"/>
      <c r="G53" s="11"/>
      <c r="H53" s="11"/>
      <c r="I53" s="11"/>
      <c r="J53" s="11"/>
    </row>
    <row r="54" ht="14.25" customHeight="1">
      <c r="A54" s="11"/>
      <c r="B54" s="11"/>
      <c r="C54" s="11"/>
      <c r="D54" s="11"/>
      <c r="E54" s="11"/>
      <c r="F54" s="11"/>
      <c r="G54" s="11"/>
      <c r="H54" s="11"/>
      <c r="I54" s="11"/>
      <c r="J54" s="11"/>
    </row>
    <row r="55" ht="14.25" customHeight="1">
      <c r="A55" s="11"/>
      <c r="B55" s="11"/>
      <c r="C55" s="11"/>
      <c r="D55" s="11"/>
      <c r="E55" s="11"/>
      <c r="F55" s="11"/>
      <c r="G55" s="11"/>
      <c r="H55" s="11"/>
      <c r="I55" s="11"/>
      <c r="J55" s="11"/>
    </row>
    <row r="56" ht="14.25" customHeight="1">
      <c r="A56" s="11"/>
      <c r="B56" s="11"/>
      <c r="C56" s="11"/>
      <c r="D56" s="11"/>
      <c r="E56" s="11"/>
      <c r="F56" s="11"/>
      <c r="G56" s="11"/>
      <c r="H56" s="11"/>
      <c r="I56" s="11"/>
      <c r="J56" s="11"/>
    </row>
    <row r="57" ht="14.25" customHeight="1">
      <c r="A57" s="11"/>
      <c r="B57" s="11"/>
      <c r="C57" s="11"/>
      <c r="D57" s="11"/>
      <c r="E57" s="11"/>
      <c r="F57" s="11"/>
      <c r="G57" s="11"/>
      <c r="H57" s="11"/>
      <c r="I57" s="11"/>
      <c r="J57" s="11"/>
    </row>
    <row r="58" ht="14.25" customHeight="1">
      <c r="A58" s="11"/>
      <c r="B58" s="11"/>
      <c r="C58" s="11"/>
      <c r="D58" s="11"/>
      <c r="E58" s="11"/>
      <c r="F58" s="11"/>
      <c r="G58" s="11"/>
      <c r="H58" s="11"/>
      <c r="I58" s="11"/>
      <c r="J58" s="11"/>
    </row>
    <row r="59" ht="14.25" customHeight="1">
      <c r="A59" s="11"/>
      <c r="B59" s="11"/>
      <c r="C59" s="11"/>
      <c r="D59" s="11"/>
      <c r="E59" s="11"/>
      <c r="F59" s="11"/>
      <c r="G59" s="11"/>
      <c r="H59" s="11"/>
      <c r="I59" s="11"/>
      <c r="J59" s="11"/>
    </row>
    <row r="60" ht="14.25" customHeight="1">
      <c r="D60" s="44"/>
      <c r="G60" s="44"/>
      <c r="H60" s="44"/>
    </row>
    <row r="61" ht="14.25" customHeight="1">
      <c r="D61" s="44"/>
      <c r="G61" s="44"/>
      <c r="H61" s="44"/>
    </row>
    <row r="62" ht="14.25" customHeight="1">
      <c r="D62" s="44"/>
      <c r="G62" s="44"/>
      <c r="H62" s="44"/>
    </row>
    <row r="63" ht="14.25" customHeight="1">
      <c r="D63" s="44"/>
      <c r="G63" s="44"/>
      <c r="H63" s="44"/>
    </row>
    <row r="64" ht="14.25" customHeight="1">
      <c r="D64" s="44"/>
      <c r="G64" s="44"/>
      <c r="H64" s="44"/>
    </row>
    <row r="65" ht="14.25" customHeight="1">
      <c r="D65" s="44"/>
      <c r="G65" s="44"/>
      <c r="H65" s="44"/>
    </row>
    <row r="66" ht="14.25" customHeight="1">
      <c r="D66" s="44"/>
      <c r="G66" s="44"/>
      <c r="H66" s="44"/>
    </row>
    <row r="67" ht="14.25" customHeight="1">
      <c r="D67" s="44"/>
      <c r="G67" s="44"/>
      <c r="H67" s="44"/>
    </row>
    <row r="68" ht="14.25" customHeight="1">
      <c r="D68" s="44"/>
      <c r="G68" s="44"/>
      <c r="H68" s="44"/>
    </row>
    <row r="69" ht="14.25" customHeight="1">
      <c r="D69" s="44"/>
      <c r="G69" s="44"/>
      <c r="H69" s="44"/>
    </row>
    <row r="70" ht="14.25" customHeight="1">
      <c r="D70" s="44"/>
      <c r="G70" s="44"/>
      <c r="H70" s="44"/>
    </row>
    <row r="71" ht="14.25" customHeight="1">
      <c r="D71" s="44"/>
      <c r="G71" s="44"/>
      <c r="H71" s="44"/>
    </row>
    <row r="72" ht="14.25" customHeight="1">
      <c r="D72" s="44"/>
      <c r="G72" s="44"/>
      <c r="H72" s="44"/>
    </row>
    <row r="73" ht="14.25" customHeight="1">
      <c r="D73" s="44"/>
      <c r="G73" s="44"/>
      <c r="H73" s="44"/>
    </row>
    <row r="74" ht="14.25" customHeight="1">
      <c r="D74" s="44"/>
      <c r="G74" s="44"/>
      <c r="H74" s="44"/>
    </row>
    <row r="75" ht="14.25" customHeight="1">
      <c r="D75" s="44"/>
      <c r="G75" s="44"/>
      <c r="H75" s="44"/>
    </row>
    <row r="76" ht="14.25" customHeight="1">
      <c r="D76" s="44"/>
      <c r="G76" s="44"/>
      <c r="H76" s="44"/>
    </row>
    <row r="77" ht="14.25" customHeight="1">
      <c r="D77" s="44"/>
      <c r="G77" s="44"/>
      <c r="H77" s="44"/>
    </row>
    <row r="78" ht="14.25" customHeight="1">
      <c r="D78" s="44"/>
      <c r="G78" s="44"/>
      <c r="H78" s="44"/>
    </row>
    <row r="79" ht="14.25" customHeight="1">
      <c r="D79" s="44"/>
      <c r="G79" s="44"/>
      <c r="H79" s="44"/>
    </row>
    <row r="80" ht="14.25" customHeight="1">
      <c r="D80" s="44"/>
      <c r="G80" s="44"/>
      <c r="H80" s="44"/>
    </row>
    <row r="81" ht="14.25" customHeight="1">
      <c r="D81" s="44"/>
      <c r="G81" s="44"/>
      <c r="H81" s="44"/>
    </row>
    <row r="82" ht="14.25" customHeight="1">
      <c r="D82" s="44"/>
      <c r="G82" s="44"/>
      <c r="H82" s="44"/>
    </row>
    <row r="83" ht="14.25" customHeight="1">
      <c r="D83" s="44"/>
      <c r="G83" s="44"/>
      <c r="H83" s="44"/>
    </row>
    <row r="84" ht="14.25" customHeight="1">
      <c r="D84" s="44"/>
      <c r="G84" s="44"/>
      <c r="H84" s="44"/>
    </row>
    <row r="85" ht="14.25" customHeight="1">
      <c r="D85" s="44"/>
      <c r="G85" s="44"/>
      <c r="H85" s="44"/>
    </row>
    <row r="86" ht="14.25" customHeight="1">
      <c r="D86" s="44"/>
      <c r="G86" s="44"/>
      <c r="H86" s="44"/>
    </row>
    <row r="87" ht="14.25" customHeight="1">
      <c r="D87" s="44"/>
      <c r="G87" s="44"/>
      <c r="H87" s="44"/>
    </row>
    <row r="88" ht="14.25" customHeight="1">
      <c r="D88" s="44"/>
      <c r="G88" s="44"/>
      <c r="H88" s="44"/>
    </row>
    <row r="89" ht="14.25" customHeight="1">
      <c r="D89" s="44"/>
      <c r="G89" s="44"/>
      <c r="H89" s="44"/>
    </row>
    <row r="90" ht="14.25" customHeight="1">
      <c r="D90" s="44"/>
      <c r="G90" s="44"/>
      <c r="H90" s="44"/>
    </row>
    <row r="91" ht="14.25" customHeight="1">
      <c r="D91" s="44"/>
      <c r="G91" s="44"/>
      <c r="H91" s="44"/>
    </row>
    <row r="92" ht="14.25" customHeight="1">
      <c r="D92" s="44"/>
      <c r="G92" s="44"/>
      <c r="H92" s="44"/>
    </row>
    <row r="93" ht="14.25" customHeight="1">
      <c r="D93" s="44"/>
      <c r="G93" s="44"/>
      <c r="H93" s="44"/>
    </row>
    <row r="94" ht="14.25" customHeight="1">
      <c r="D94" s="44"/>
      <c r="G94" s="44"/>
      <c r="H94" s="44"/>
    </row>
    <row r="95" ht="14.25" customHeight="1">
      <c r="D95" s="44"/>
      <c r="G95" s="44"/>
      <c r="H95" s="44"/>
    </row>
    <row r="96" ht="14.25" customHeight="1">
      <c r="D96" s="44"/>
      <c r="G96" s="44"/>
      <c r="H96" s="44"/>
    </row>
    <row r="97" ht="14.25" customHeight="1">
      <c r="D97" s="44"/>
      <c r="G97" s="44"/>
      <c r="H97" s="44"/>
    </row>
    <row r="98" ht="14.25" customHeight="1">
      <c r="D98" s="44"/>
      <c r="G98" s="44"/>
      <c r="H98" s="44"/>
    </row>
    <row r="99" ht="14.25" customHeight="1">
      <c r="D99" s="44"/>
      <c r="G99" s="44"/>
      <c r="H99" s="44"/>
    </row>
    <row r="100" ht="14.25" customHeight="1">
      <c r="D100" s="44"/>
      <c r="G100" s="44"/>
      <c r="H100" s="44"/>
    </row>
    <row r="101" ht="14.25" customHeight="1">
      <c r="D101" s="44"/>
      <c r="G101" s="44"/>
      <c r="H101" s="44"/>
    </row>
    <row r="102" ht="14.25" customHeight="1">
      <c r="D102" s="44"/>
      <c r="G102" s="44"/>
      <c r="H102" s="44"/>
    </row>
    <row r="103" ht="14.25" customHeight="1">
      <c r="D103" s="44"/>
      <c r="G103" s="44"/>
      <c r="H103" s="44"/>
    </row>
    <row r="104" ht="14.25" customHeight="1">
      <c r="D104" s="44"/>
      <c r="G104" s="44"/>
      <c r="H104" s="44"/>
    </row>
    <row r="105" ht="14.25" customHeight="1">
      <c r="D105" s="44"/>
      <c r="G105" s="44"/>
      <c r="H105" s="44"/>
    </row>
    <row r="106" ht="14.25" customHeight="1">
      <c r="D106" s="44"/>
      <c r="G106" s="44"/>
      <c r="H106" s="44"/>
    </row>
    <row r="107" ht="14.25" customHeight="1">
      <c r="D107" s="44"/>
      <c r="G107" s="44"/>
      <c r="H107" s="44"/>
    </row>
    <row r="108" ht="14.25" customHeight="1">
      <c r="D108" s="44"/>
      <c r="G108" s="44"/>
      <c r="H108" s="44"/>
    </row>
    <row r="109" ht="14.25" customHeight="1">
      <c r="D109" s="44"/>
      <c r="G109" s="44"/>
      <c r="H109" s="44"/>
    </row>
    <row r="110" ht="14.25" customHeight="1">
      <c r="D110" s="44"/>
      <c r="G110" s="44"/>
      <c r="H110" s="44"/>
    </row>
    <row r="111" ht="14.25" customHeight="1">
      <c r="D111" s="44"/>
      <c r="G111" s="44"/>
      <c r="H111" s="44"/>
    </row>
    <row r="112" ht="14.25" customHeight="1">
      <c r="D112" s="44"/>
      <c r="G112" s="44"/>
      <c r="H112" s="44"/>
    </row>
    <row r="113" ht="14.25" customHeight="1">
      <c r="D113" s="44"/>
      <c r="G113" s="44"/>
      <c r="H113" s="44"/>
    </row>
    <row r="114" ht="14.25" customHeight="1">
      <c r="D114" s="44"/>
      <c r="G114" s="44"/>
      <c r="H114" s="44"/>
    </row>
    <row r="115" ht="14.25" customHeight="1">
      <c r="D115" s="44"/>
      <c r="G115" s="44"/>
      <c r="H115" s="44"/>
    </row>
    <row r="116" ht="14.25" customHeight="1">
      <c r="D116" s="44"/>
      <c r="G116" s="44"/>
      <c r="H116" s="44"/>
    </row>
    <row r="117" ht="14.25" customHeight="1">
      <c r="D117" s="44"/>
      <c r="G117" s="44"/>
      <c r="H117" s="44"/>
    </row>
    <row r="118" ht="14.25" customHeight="1">
      <c r="D118" s="44"/>
      <c r="G118" s="44"/>
      <c r="H118" s="44"/>
    </row>
    <row r="119" ht="14.25" customHeight="1">
      <c r="D119" s="44"/>
      <c r="G119" s="44"/>
      <c r="H119" s="44"/>
    </row>
    <row r="120" ht="14.25" customHeight="1">
      <c r="D120" s="44"/>
      <c r="G120" s="44"/>
      <c r="H120" s="44"/>
    </row>
    <row r="121" ht="14.25" customHeight="1">
      <c r="D121" s="44"/>
      <c r="G121" s="44"/>
      <c r="H121" s="44"/>
    </row>
    <row r="122" ht="14.25" customHeight="1">
      <c r="D122" s="44"/>
      <c r="G122" s="44"/>
      <c r="H122" s="44"/>
    </row>
    <row r="123" ht="14.25" customHeight="1">
      <c r="D123" s="44"/>
      <c r="G123" s="44"/>
      <c r="H123" s="44"/>
    </row>
    <row r="124" ht="14.25" customHeight="1">
      <c r="D124" s="44"/>
      <c r="G124" s="44"/>
      <c r="H124" s="44"/>
    </row>
    <row r="125" ht="14.25" customHeight="1">
      <c r="D125" s="44"/>
      <c r="G125" s="44"/>
      <c r="H125" s="44"/>
    </row>
    <row r="126" ht="14.25" customHeight="1">
      <c r="D126" s="44"/>
      <c r="G126" s="44"/>
      <c r="H126" s="44"/>
    </row>
    <row r="127" ht="14.25" customHeight="1">
      <c r="D127" s="44"/>
      <c r="G127" s="44"/>
      <c r="H127" s="44"/>
    </row>
    <row r="128" ht="14.25" customHeight="1">
      <c r="D128" s="44"/>
      <c r="G128" s="44"/>
      <c r="H128" s="44"/>
    </row>
    <row r="129" ht="14.25" customHeight="1">
      <c r="D129" s="44"/>
      <c r="G129" s="44"/>
      <c r="H129" s="44"/>
    </row>
    <row r="130" ht="14.25" customHeight="1">
      <c r="D130" s="44"/>
      <c r="G130" s="44"/>
      <c r="H130" s="44"/>
    </row>
    <row r="131" ht="14.25" customHeight="1">
      <c r="D131" s="44"/>
      <c r="G131" s="44"/>
      <c r="H131" s="44"/>
    </row>
    <row r="132" ht="14.25" customHeight="1">
      <c r="D132" s="44"/>
      <c r="G132" s="44"/>
      <c r="H132" s="44"/>
    </row>
    <row r="133" ht="14.25" customHeight="1">
      <c r="D133" s="44"/>
      <c r="G133" s="44"/>
      <c r="H133" s="44"/>
    </row>
    <row r="134" ht="14.25" customHeight="1">
      <c r="D134" s="44"/>
      <c r="G134" s="44"/>
      <c r="H134" s="44"/>
    </row>
    <row r="135" ht="14.25" customHeight="1">
      <c r="D135" s="44"/>
      <c r="G135" s="44"/>
      <c r="H135" s="44"/>
    </row>
    <row r="136" ht="14.25" customHeight="1">
      <c r="D136" s="44"/>
      <c r="G136" s="44"/>
      <c r="H136" s="44"/>
    </row>
    <row r="137" ht="14.25" customHeight="1">
      <c r="D137" s="44"/>
      <c r="G137" s="44"/>
      <c r="H137" s="44"/>
    </row>
    <row r="138" ht="14.25" customHeight="1">
      <c r="D138" s="44"/>
      <c r="G138" s="44"/>
      <c r="H138" s="44"/>
    </row>
    <row r="139" ht="14.25" customHeight="1">
      <c r="D139" s="44"/>
      <c r="G139" s="44"/>
      <c r="H139" s="44"/>
    </row>
    <row r="140" ht="14.25" customHeight="1">
      <c r="D140" s="44"/>
      <c r="G140" s="44"/>
      <c r="H140" s="44"/>
    </row>
    <row r="141" ht="14.25" customHeight="1">
      <c r="D141" s="44"/>
      <c r="G141" s="44"/>
      <c r="H141" s="44"/>
    </row>
    <row r="142" ht="14.25" customHeight="1">
      <c r="D142" s="44"/>
      <c r="G142" s="44"/>
      <c r="H142" s="44"/>
    </row>
    <row r="143" ht="14.25" customHeight="1">
      <c r="D143" s="44"/>
      <c r="G143" s="44"/>
      <c r="H143" s="44"/>
    </row>
    <row r="144" ht="14.25" customHeight="1">
      <c r="D144" s="44"/>
      <c r="G144" s="44"/>
      <c r="H144" s="44"/>
    </row>
    <row r="145" ht="14.25" customHeight="1">
      <c r="D145" s="44"/>
      <c r="G145" s="44"/>
      <c r="H145" s="44"/>
    </row>
    <row r="146" ht="14.25" customHeight="1">
      <c r="D146" s="44"/>
      <c r="G146" s="44"/>
      <c r="H146" s="44"/>
    </row>
    <row r="147" ht="14.25" customHeight="1">
      <c r="D147" s="44"/>
      <c r="G147" s="44"/>
      <c r="H147" s="44"/>
    </row>
    <row r="148" ht="14.25" customHeight="1">
      <c r="D148" s="44"/>
      <c r="G148" s="44"/>
      <c r="H148" s="44"/>
    </row>
    <row r="149" ht="14.25" customHeight="1">
      <c r="D149" s="44"/>
      <c r="G149" s="44"/>
      <c r="H149" s="44"/>
    </row>
    <row r="150" ht="14.25" customHeight="1">
      <c r="D150" s="44"/>
      <c r="G150" s="44"/>
      <c r="H150" s="44"/>
    </row>
    <row r="151" ht="14.25" customHeight="1">
      <c r="D151" s="44"/>
      <c r="G151" s="44"/>
      <c r="H151" s="44"/>
    </row>
    <row r="152" ht="14.25" customHeight="1">
      <c r="D152" s="44"/>
      <c r="G152" s="44"/>
      <c r="H152" s="44"/>
    </row>
    <row r="153" ht="14.25" customHeight="1">
      <c r="D153" s="44"/>
      <c r="G153" s="44"/>
      <c r="H153" s="44"/>
    </row>
    <row r="154" ht="14.25" customHeight="1">
      <c r="D154" s="44"/>
      <c r="G154" s="44"/>
      <c r="H154" s="44"/>
    </row>
    <row r="155" ht="14.25" customHeight="1">
      <c r="D155" s="44"/>
      <c r="G155" s="44"/>
      <c r="H155" s="44"/>
    </row>
    <row r="156" ht="14.25" customHeight="1">
      <c r="D156" s="44"/>
      <c r="G156" s="44"/>
      <c r="H156" s="44"/>
    </row>
    <row r="157" ht="14.25" customHeight="1">
      <c r="D157" s="44"/>
      <c r="G157" s="44"/>
      <c r="H157" s="44"/>
    </row>
    <row r="158" ht="14.25" customHeight="1">
      <c r="D158" s="44"/>
      <c r="G158" s="44"/>
      <c r="H158" s="44"/>
    </row>
    <row r="159" ht="14.25" customHeight="1">
      <c r="D159" s="44"/>
      <c r="G159" s="44"/>
      <c r="H159" s="44"/>
    </row>
    <row r="160" ht="14.25" customHeight="1">
      <c r="D160" s="44"/>
      <c r="G160" s="44"/>
      <c r="H160" s="44"/>
    </row>
    <row r="161" ht="14.25" customHeight="1">
      <c r="D161" s="44"/>
      <c r="G161" s="44"/>
      <c r="H161" s="44"/>
    </row>
    <row r="162" ht="14.25" customHeight="1">
      <c r="D162" s="44"/>
      <c r="G162" s="44"/>
      <c r="H162" s="44"/>
    </row>
    <row r="163" ht="14.25" customHeight="1">
      <c r="D163" s="44"/>
      <c r="G163" s="44"/>
      <c r="H163" s="44"/>
    </row>
    <row r="164" ht="14.25" customHeight="1">
      <c r="D164" s="44"/>
      <c r="G164" s="44"/>
      <c r="H164" s="44"/>
    </row>
    <row r="165" ht="14.25" customHeight="1">
      <c r="D165" s="44"/>
      <c r="G165" s="44"/>
      <c r="H165" s="44"/>
    </row>
    <row r="166" ht="14.25" customHeight="1">
      <c r="D166" s="44"/>
      <c r="G166" s="44"/>
      <c r="H166" s="44"/>
    </row>
    <row r="167" ht="14.25" customHeight="1">
      <c r="D167" s="44"/>
      <c r="G167" s="44"/>
      <c r="H167" s="44"/>
    </row>
    <row r="168" ht="14.25" customHeight="1">
      <c r="D168" s="44"/>
      <c r="G168" s="44"/>
      <c r="H168" s="44"/>
    </row>
    <row r="169" ht="14.25" customHeight="1">
      <c r="D169" s="44"/>
      <c r="G169" s="44"/>
      <c r="H169" s="44"/>
    </row>
    <row r="170" ht="14.25" customHeight="1">
      <c r="D170" s="44"/>
      <c r="G170" s="44"/>
      <c r="H170" s="44"/>
    </row>
    <row r="171" ht="14.25" customHeight="1">
      <c r="D171" s="44"/>
      <c r="G171" s="44"/>
      <c r="H171" s="44"/>
    </row>
    <row r="172" ht="14.25" customHeight="1">
      <c r="D172" s="44"/>
      <c r="G172" s="44"/>
      <c r="H172" s="44"/>
    </row>
    <row r="173" ht="14.25" customHeight="1">
      <c r="D173" s="44"/>
      <c r="G173" s="44"/>
      <c r="H173" s="44"/>
    </row>
    <row r="174" ht="14.25" customHeight="1">
      <c r="D174" s="44"/>
      <c r="G174" s="44"/>
      <c r="H174" s="44"/>
    </row>
    <row r="175" ht="14.25" customHeight="1">
      <c r="D175" s="44"/>
      <c r="G175" s="44"/>
      <c r="H175" s="44"/>
    </row>
    <row r="176" ht="14.25" customHeight="1">
      <c r="D176" s="44"/>
      <c r="G176" s="44"/>
      <c r="H176" s="44"/>
    </row>
    <row r="177" ht="14.25" customHeight="1">
      <c r="D177" s="44"/>
      <c r="G177" s="44"/>
      <c r="H177" s="44"/>
    </row>
    <row r="178" ht="14.25" customHeight="1">
      <c r="D178" s="44"/>
      <c r="G178" s="44"/>
      <c r="H178" s="44"/>
    </row>
    <row r="179" ht="14.25" customHeight="1">
      <c r="D179" s="44"/>
      <c r="G179" s="44"/>
      <c r="H179" s="44"/>
    </row>
    <row r="180" ht="14.25" customHeight="1">
      <c r="D180" s="44"/>
      <c r="G180" s="44"/>
      <c r="H180" s="44"/>
    </row>
    <row r="181" ht="14.25" customHeight="1">
      <c r="D181" s="44"/>
      <c r="G181" s="44"/>
      <c r="H181" s="44"/>
    </row>
    <row r="182" ht="14.25" customHeight="1">
      <c r="D182" s="44"/>
      <c r="G182" s="44"/>
      <c r="H182" s="44"/>
    </row>
    <row r="183" ht="14.25" customHeight="1">
      <c r="D183" s="44"/>
      <c r="G183" s="44"/>
      <c r="H183" s="44"/>
    </row>
    <row r="184" ht="14.25" customHeight="1">
      <c r="D184" s="44"/>
      <c r="G184" s="44"/>
      <c r="H184" s="44"/>
    </row>
    <row r="185" ht="14.25" customHeight="1">
      <c r="D185" s="44"/>
      <c r="G185" s="44"/>
      <c r="H185" s="44"/>
    </row>
    <row r="186" ht="14.25" customHeight="1">
      <c r="D186" s="44"/>
      <c r="G186" s="44"/>
      <c r="H186" s="44"/>
    </row>
    <row r="187" ht="14.25" customHeight="1">
      <c r="D187" s="44"/>
      <c r="G187" s="44"/>
      <c r="H187" s="44"/>
    </row>
    <row r="188" ht="14.25" customHeight="1">
      <c r="D188" s="44"/>
      <c r="G188" s="44"/>
      <c r="H188" s="44"/>
    </row>
    <row r="189" ht="14.25" customHeight="1">
      <c r="D189" s="44"/>
      <c r="G189" s="44"/>
      <c r="H189" s="44"/>
    </row>
    <row r="190" ht="14.25" customHeight="1">
      <c r="D190" s="44"/>
      <c r="G190" s="44"/>
      <c r="H190" s="44"/>
    </row>
    <row r="191" ht="14.25" customHeight="1">
      <c r="D191" s="44"/>
      <c r="G191" s="44"/>
      <c r="H191" s="44"/>
    </row>
    <row r="192" ht="14.25" customHeight="1">
      <c r="D192" s="44"/>
      <c r="G192" s="44"/>
      <c r="H192" s="44"/>
    </row>
    <row r="193" ht="14.25" customHeight="1">
      <c r="D193" s="44"/>
      <c r="G193" s="44"/>
      <c r="H193" s="44"/>
    </row>
    <row r="194" ht="14.25" customHeight="1">
      <c r="D194" s="44"/>
      <c r="G194" s="44"/>
      <c r="H194" s="44"/>
    </row>
    <row r="195" ht="14.25" customHeight="1">
      <c r="D195" s="44"/>
      <c r="G195" s="44"/>
      <c r="H195" s="44"/>
    </row>
    <row r="196" ht="14.25" customHeight="1">
      <c r="D196" s="44"/>
      <c r="G196" s="44"/>
      <c r="H196" s="44"/>
    </row>
    <row r="197" ht="14.25" customHeight="1">
      <c r="D197" s="44"/>
      <c r="G197" s="44"/>
      <c r="H197" s="44"/>
    </row>
    <row r="198" ht="14.25" customHeight="1">
      <c r="D198" s="44"/>
      <c r="G198" s="44"/>
      <c r="H198" s="44"/>
    </row>
    <row r="199" ht="14.25" customHeight="1">
      <c r="D199" s="44"/>
      <c r="G199" s="44"/>
      <c r="H199" s="44"/>
    </row>
    <row r="200" ht="14.25" customHeight="1">
      <c r="D200" s="44"/>
      <c r="G200" s="44"/>
      <c r="H200" s="44"/>
    </row>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J1"/>
  </mergeCells>
  <dataValidations>
    <dataValidation type="list" allowBlank="1" sqref="H3:H200">
      <formula1>"Open,In Progress,Fixed,Verified,Closed,Deferred"</formula1>
    </dataValidation>
    <dataValidation type="list" allowBlank="1" sqref="D3:D200">
      <formula1>"Web,iOS,Web + iOS"</formula1>
    </dataValidation>
    <dataValidation type="list" allowBlank="1" sqref="G3:G200">
      <formula1>"Critical,High,Medium,Low"</formula1>
    </dataValidation>
  </dataValidation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6E6B"/>
    <pageSetUpPr/>
  </sheetPr>
  <sheetViews>
    <sheetView showGridLines="0" workbookViewId="0"/>
  </sheetViews>
  <sheetFormatPr customHeight="1" defaultColWidth="14.43" defaultRowHeight="15.0"/>
  <cols>
    <col customWidth="1" min="1" max="1" width="3.0"/>
    <col customWidth="1" min="2" max="2" width="34.0"/>
    <col customWidth="1" min="3" max="3" width="46.0"/>
    <col customWidth="1" min="4" max="5" width="24.0"/>
    <col customWidth="1" min="6" max="26" width="8.71"/>
  </cols>
  <sheetData>
    <row r="1" ht="14.25" customHeight="1"/>
    <row r="2" ht="14.25" customHeight="1">
      <c r="B2" s="2" t="s">
        <v>4030</v>
      </c>
    </row>
    <row r="3" ht="14.25" customHeight="1">
      <c r="B3" s="4" t="s">
        <v>4032</v>
      </c>
    </row>
    <row r="4" ht="14.25" customHeight="1"/>
    <row r="5" ht="14.25" customHeight="1">
      <c r="B5" s="38" t="s">
        <v>4037</v>
      </c>
      <c r="C5" s="39"/>
      <c r="D5" s="39"/>
      <c r="E5" s="40"/>
    </row>
    <row r="6" ht="15.0" customHeight="1">
      <c r="B6" s="41" t="s">
        <v>4038</v>
      </c>
      <c r="C6" s="42" t="s">
        <v>4039</v>
      </c>
      <c r="D6" s="39"/>
      <c r="E6" s="43"/>
    </row>
    <row r="7" ht="15.0" customHeight="1">
      <c r="B7" s="41" t="s">
        <v>4040</v>
      </c>
      <c r="C7" s="42" t="s">
        <v>4041</v>
      </c>
      <c r="D7" s="39"/>
      <c r="E7" s="43"/>
    </row>
    <row r="8" ht="15.0" customHeight="1">
      <c r="B8" s="41" t="s">
        <v>4042</v>
      </c>
      <c r="C8" s="42" t="s">
        <v>4043</v>
      </c>
      <c r="D8" s="39"/>
      <c r="E8" s="43"/>
    </row>
    <row r="9" ht="15.0" customHeight="1">
      <c r="B9" s="41" t="s">
        <v>4044</v>
      </c>
      <c r="C9" s="42" t="s">
        <v>4045</v>
      </c>
      <c r="D9" s="39"/>
      <c r="E9" s="43"/>
    </row>
    <row r="10" ht="15.0" customHeight="1">
      <c r="B10" s="41" t="s">
        <v>4046</v>
      </c>
      <c r="C10" s="42" t="s">
        <v>4047</v>
      </c>
      <c r="D10" s="39"/>
      <c r="E10" s="43"/>
    </row>
    <row r="11" ht="15.0" customHeight="1">
      <c r="B11" s="41" t="s">
        <v>4048</v>
      </c>
      <c r="C11" s="42" t="s">
        <v>4049</v>
      </c>
      <c r="D11" s="39"/>
      <c r="E11" s="43"/>
    </row>
    <row r="12" ht="14.25" customHeight="1"/>
    <row r="13" ht="14.25" customHeight="1">
      <c r="B13" s="38" t="s">
        <v>4050</v>
      </c>
      <c r="C13" s="39"/>
      <c r="D13" s="39"/>
      <c r="E13" s="40"/>
    </row>
    <row r="14" ht="15.0" customHeight="1">
      <c r="B14" s="41" t="s">
        <v>4051</v>
      </c>
      <c r="C14" s="42" t="s">
        <v>4052</v>
      </c>
      <c r="D14" s="39"/>
      <c r="E14" s="43"/>
    </row>
    <row r="15" ht="15.0" customHeight="1">
      <c r="B15" s="41" t="s">
        <v>4053</v>
      </c>
      <c r="C15" s="42" t="s">
        <v>4054</v>
      </c>
      <c r="D15" s="39"/>
      <c r="E15" s="43"/>
    </row>
    <row r="16" ht="15.0" customHeight="1">
      <c r="B16" s="41" t="s">
        <v>4055</v>
      </c>
      <c r="C16" s="42" t="s">
        <v>4056</v>
      </c>
      <c r="D16" s="39"/>
      <c r="E16" s="43"/>
    </row>
    <row r="17" ht="15.0" customHeight="1">
      <c r="B17" s="41" t="s">
        <v>4057</v>
      </c>
      <c r="C17" s="42" t="s">
        <v>4058</v>
      </c>
      <c r="D17" s="39"/>
      <c r="E17" s="43"/>
    </row>
    <row r="18" ht="15.0" customHeight="1">
      <c r="B18" s="41" t="s">
        <v>4059</v>
      </c>
      <c r="C18" s="42" t="s">
        <v>4060</v>
      </c>
      <c r="D18" s="39"/>
      <c r="E18" s="43"/>
    </row>
    <row r="19" ht="15.0" customHeight="1">
      <c r="B19" s="41" t="s">
        <v>4061</v>
      </c>
      <c r="C19" s="42" t="s">
        <v>4062</v>
      </c>
      <c r="D19" s="39"/>
      <c r="E19" s="43"/>
    </row>
    <row r="20" ht="15.0" customHeight="1">
      <c r="B20" s="41" t="s">
        <v>4063</v>
      </c>
      <c r="C20" s="42" t="s">
        <v>4064</v>
      </c>
      <c r="D20" s="39"/>
      <c r="E20" s="43"/>
    </row>
    <row r="21" ht="15.0" customHeight="1">
      <c r="B21" s="41" t="s">
        <v>4065</v>
      </c>
      <c r="C21" s="42" t="s">
        <v>4066</v>
      </c>
      <c r="D21" s="39"/>
      <c r="E21" s="43"/>
    </row>
    <row r="22" ht="15.0" customHeight="1">
      <c r="B22" s="41" t="s">
        <v>4067</v>
      </c>
      <c r="C22" s="42" t="s">
        <v>4068</v>
      </c>
      <c r="D22" s="39"/>
      <c r="E22" s="43"/>
    </row>
    <row r="23" ht="14.25" customHeight="1"/>
    <row r="24" ht="14.25" customHeight="1">
      <c r="B24" s="38" t="s">
        <v>4069</v>
      </c>
      <c r="C24" s="39"/>
      <c r="D24" s="39"/>
      <c r="E24" s="40"/>
    </row>
    <row r="25" ht="15.0" customHeight="1">
      <c r="B25" s="41" t="s">
        <v>4070</v>
      </c>
      <c r="C25" s="42" t="s">
        <v>4071</v>
      </c>
      <c r="D25" s="39"/>
      <c r="E25" s="43"/>
    </row>
    <row r="26" ht="15.0" customHeight="1">
      <c r="B26" s="41" t="s">
        <v>2795</v>
      </c>
      <c r="C26" s="42" t="s">
        <v>4072</v>
      </c>
      <c r="D26" s="39"/>
      <c r="E26" s="43"/>
    </row>
    <row r="27" ht="27.75" customHeight="1">
      <c r="B27" s="41" t="s">
        <v>4073</v>
      </c>
      <c r="C27" s="42" t="s">
        <v>4074</v>
      </c>
      <c r="D27" s="39"/>
      <c r="E27" s="43"/>
    </row>
    <row r="28" ht="15.0" customHeight="1">
      <c r="B28" s="41" t="s">
        <v>4075</v>
      </c>
      <c r="C28" s="42" t="s">
        <v>4076</v>
      </c>
      <c r="D28" s="39"/>
      <c r="E28" s="43"/>
    </row>
    <row r="29" ht="15.0" customHeight="1">
      <c r="B29" s="41" t="s">
        <v>4077</v>
      </c>
      <c r="C29" s="42" t="s">
        <v>4078</v>
      </c>
      <c r="D29" s="39"/>
      <c r="E29" s="43"/>
    </row>
    <row r="30" ht="15.0" customHeight="1">
      <c r="B30" s="41" t="s">
        <v>4079</v>
      </c>
      <c r="C30" s="42" t="s">
        <v>4080</v>
      </c>
      <c r="D30" s="39"/>
      <c r="E30" s="43"/>
    </row>
    <row r="31" ht="15.0" customHeight="1">
      <c r="B31" s="41" t="s">
        <v>4081</v>
      </c>
      <c r="C31" s="42" t="s">
        <v>4082</v>
      </c>
      <c r="D31" s="39"/>
      <c r="E31" s="43"/>
    </row>
    <row r="32" ht="15.0" customHeight="1">
      <c r="B32" s="41" t="s">
        <v>2903</v>
      </c>
      <c r="C32" s="42" t="s">
        <v>4083</v>
      </c>
      <c r="D32" s="39"/>
      <c r="E32" s="43"/>
    </row>
    <row r="33" ht="15.0" customHeight="1">
      <c r="B33" s="41" t="s">
        <v>4084</v>
      </c>
      <c r="C33" s="42" t="s">
        <v>4085</v>
      </c>
      <c r="D33" s="39"/>
      <c r="E33" s="43"/>
    </row>
    <row r="34" ht="15.0" customHeight="1">
      <c r="B34" s="41" t="s">
        <v>4086</v>
      </c>
      <c r="C34" s="42" t="s">
        <v>4087</v>
      </c>
      <c r="D34" s="39"/>
      <c r="E34" s="43"/>
    </row>
    <row r="35" ht="14.25" customHeight="1"/>
    <row r="36" ht="14.25" customHeight="1">
      <c r="B36" s="38" t="s">
        <v>4088</v>
      </c>
      <c r="C36" s="39"/>
      <c r="D36" s="39"/>
      <c r="E36" s="40"/>
    </row>
    <row r="37" ht="15.0" customHeight="1">
      <c r="B37" s="41" t="s">
        <v>4089</v>
      </c>
      <c r="C37" s="42" t="s">
        <v>4090</v>
      </c>
      <c r="D37" s="39"/>
      <c r="E37" s="43"/>
    </row>
    <row r="38" ht="15.0" customHeight="1">
      <c r="B38" s="41" t="s">
        <v>4091</v>
      </c>
      <c r="C38" s="42" t="s">
        <v>4092</v>
      </c>
      <c r="D38" s="39"/>
      <c r="E38" s="43"/>
    </row>
    <row r="39" ht="15.0" customHeight="1">
      <c r="B39" s="41" t="s">
        <v>4093</v>
      </c>
      <c r="C39" s="42" t="s">
        <v>4094</v>
      </c>
      <c r="D39" s="39"/>
      <c r="E39" s="43"/>
    </row>
    <row r="40" ht="27.75" customHeight="1">
      <c r="B40" s="41" t="s">
        <v>4095</v>
      </c>
      <c r="C40" s="42" t="s">
        <v>4096</v>
      </c>
      <c r="D40" s="39"/>
      <c r="E40" s="43"/>
    </row>
    <row r="41" ht="15.0" customHeight="1">
      <c r="B41" s="41" t="s">
        <v>4097</v>
      </c>
      <c r="C41" s="42" t="s">
        <v>4098</v>
      </c>
      <c r="D41" s="39"/>
      <c r="E41" s="43"/>
    </row>
    <row r="42" ht="15.0" customHeight="1">
      <c r="B42" s="41" t="s">
        <v>4099</v>
      </c>
      <c r="C42" s="42" t="s">
        <v>4100</v>
      </c>
      <c r="D42" s="39"/>
      <c r="E42" s="43"/>
    </row>
    <row r="43" ht="15.0" customHeight="1">
      <c r="B43" s="41" t="s">
        <v>4101</v>
      </c>
      <c r="C43" s="42" t="s">
        <v>4102</v>
      </c>
      <c r="D43" s="39"/>
      <c r="E43" s="43"/>
    </row>
    <row r="44" ht="15.0" customHeight="1">
      <c r="B44" s="41" t="s">
        <v>4103</v>
      </c>
      <c r="C44" s="42" t="s">
        <v>4104</v>
      </c>
      <c r="D44" s="39"/>
      <c r="E44" s="43"/>
    </row>
    <row r="45" ht="15.0" customHeight="1">
      <c r="B45" s="41" t="s">
        <v>4105</v>
      </c>
      <c r="C45" s="42" t="s">
        <v>4106</v>
      </c>
      <c r="D45" s="39"/>
      <c r="E45" s="43"/>
    </row>
    <row r="46" ht="15.0" customHeight="1">
      <c r="B46" s="41" t="s">
        <v>4107</v>
      </c>
      <c r="C46" s="42" t="s">
        <v>4108</v>
      </c>
      <c r="D46" s="39"/>
      <c r="E46" s="43"/>
    </row>
    <row r="47" ht="14.25" customHeight="1"/>
    <row r="48" ht="14.25" customHeight="1">
      <c r="B48" s="38" t="s">
        <v>4109</v>
      </c>
      <c r="C48" s="39"/>
      <c r="D48" s="39"/>
      <c r="E48" s="40"/>
    </row>
    <row r="49" ht="15.0" customHeight="1">
      <c r="B49" s="41" t="s">
        <v>4110</v>
      </c>
      <c r="C49" s="42" t="s">
        <v>4111</v>
      </c>
      <c r="D49" s="39"/>
      <c r="E49" s="43"/>
    </row>
    <row r="50" ht="15.0" customHeight="1">
      <c r="B50" s="41" t="s">
        <v>4112</v>
      </c>
      <c r="C50" s="42" t="s">
        <v>4113</v>
      </c>
      <c r="D50" s="39"/>
      <c r="E50" s="43"/>
    </row>
    <row r="51" ht="15.0" customHeight="1">
      <c r="B51" s="41" t="s">
        <v>4114</v>
      </c>
      <c r="C51" s="42" t="s">
        <v>4115</v>
      </c>
      <c r="D51" s="39"/>
      <c r="E51" s="43"/>
    </row>
    <row r="52" ht="15.0" customHeight="1">
      <c r="B52" s="41" t="s">
        <v>4116</v>
      </c>
      <c r="C52" s="42" t="s">
        <v>4117</v>
      </c>
      <c r="D52" s="39"/>
      <c r="E52" s="43"/>
    </row>
    <row r="53" ht="15.0" customHeight="1">
      <c r="B53" s="41" t="s">
        <v>4118</v>
      </c>
      <c r="C53" s="42" t="s">
        <v>4119</v>
      </c>
      <c r="D53" s="39"/>
      <c r="E53" s="43"/>
    </row>
    <row r="54" ht="14.25" customHeight="1"/>
    <row r="55" ht="14.25" customHeight="1">
      <c r="B55" s="38" t="s">
        <v>4120</v>
      </c>
      <c r="C55" s="39"/>
      <c r="D55" s="39"/>
      <c r="E55" s="40"/>
    </row>
    <row r="56" ht="15.0" customHeight="1">
      <c r="B56" s="41" t="s">
        <v>4121</v>
      </c>
      <c r="C56" s="42" t="s">
        <v>4122</v>
      </c>
      <c r="D56" s="39"/>
      <c r="E56" s="43"/>
    </row>
    <row r="57" ht="15.0" customHeight="1">
      <c r="B57" s="41" t="s">
        <v>4123</v>
      </c>
      <c r="C57" s="42" t="s">
        <v>4124</v>
      </c>
      <c r="D57" s="39"/>
      <c r="E57" s="43"/>
    </row>
    <row r="58" ht="15.0" customHeight="1">
      <c r="B58" s="41" t="s">
        <v>4125</v>
      </c>
      <c r="C58" s="42" t="s">
        <v>4126</v>
      </c>
      <c r="D58" s="39"/>
      <c r="E58" s="43"/>
    </row>
    <row r="59" ht="15.0" customHeight="1">
      <c r="B59" s="41" t="s">
        <v>4127</v>
      </c>
      <c r="C59" s="42" t="s">
        <v>4128</v>
      </c>
      <c r="D59" s="39"/>
      <c r="E59" s="43"/>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0">
    <mergeCell ref="B5:E5"/>
    <mergeCell ref="C6:E6"/>
    <mergeCell ref="C7:E7"/>
    <mergeCell ref="C8:E8"/>
    <mergeCell ref="C9:E9"/>
    <mergeCell ref="C10:E10"/>
    <mergeCell ref="C11:E11"/>
    <mergeCell ref="B13:E13"/>
    <mergeCell ref="C14:E14"/>
    <mergeCell ref="C15:E15"/>
    <mergeCell ref="C16:E16"/>
    <mergeCell ref="C17:E17"/>
    <mergeCell ref="C18:E18"/>
    <mergeCell ref="C19:E19"/>
    <mergeCell ref="C20:E20"/>
    <mergeCell ref="C21:E21"/>
    <mergeCell ref="C22:E22"/>
    <mergeCell ref="B24:E24"/>
    <mergeCell ref="C25:E25"/>
    <mergeCell ref="C26:E26"/>
    <mergeCell ref="C27:E27"/>
    <mergeCell ref="C28:E28"/>
    <mergeCell ref="C29:E29"/>
    <mergeCell ref="C30:E30"/>
    <mergeCell ref="C31:E31"/>
    <mergeCell ref="C32:E32"/>
    <mergeCell ref="C33:E33"/>
    <mergeCell ref="C34:E34"/>
    <mergeCell ref="B36:E36"/>
    <mergeCell ref="C37:E37"/>
    <mergeCell ref="C38:E38"/>
    <mergeCell ref="C39:E39"/>
    <mergeCell ref="C40:E40"/>
    <mergeCell ref="C41:E41"/>
    <mergeCell ref="C42:E42"/>
    <mergeCell ref="C51:E51"/>
    <mergeCell ref="C52:E52"/>
    <mergeCell ref="C53:E53"/>
    <mergeCell ref="B55:E55"/>
    <mergeCell ref="C56:E56"/>
    <mergeCell ref="C57:E57"/>
    <mergeCell ref="C58:E58"/>
    <mergeCell ref="C59:E59"/>
    <mergeCell ref="C43:E43"/>
    <mergeCell ref="C44:E44"/>
    <mergeCell ref="C45:E45"/>
    <mergeCell ref="C46:E46"/>
    <mergeCell ref="B48:E48"/>
    <mergeCell ref="C49:E49"/>
    <mergeCell ref="C50:E50"/>
  </mergeCells>
  <printOptions/>
  <pageMargins bottom="1.0" footer="0.0" header="0.0" left="0.75" right="0.75" top="1.0"/>
  <pageSetup paperSize="9" orientation="portrait"/>
  <drawing r:id="rId1"/>
</worksheet>
</file>