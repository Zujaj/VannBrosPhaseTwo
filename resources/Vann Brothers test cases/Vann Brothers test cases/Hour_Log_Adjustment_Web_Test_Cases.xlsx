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1" autoFilterDateGrouping="1"/>
  </bookViews>
  <sheets>
    <sheet name="Summary" sheetId="1" state="visible" r:id="rId1"/>
    <sheet name="Test Cases" sheetId="2" state="visible" r:id="rId2"/>
    <sheet name="Clarifications" sheetId="3" state="visible" r:id="rId3"/>
  </sheets>
  <definedNames>
    <definedName name="_xlnm._FilterDatabase" localSheetId="1" hidden="1">'Test Cases'!$A$1:$Q$96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dd\-mmm\-yyyy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1F3864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165" fontId="4" fillId="4" borderId="1" applyAlignment="1" pivotButton="0" quotePrefix="0" xfId="0">
      <alignment horizontal="center" vertical="top" wrapText="1"/>
    </xf>
  </cellXfs>
  <cellStyles count="1">
    <cellStyle name="Normal" xfId="0" builtinId="0"/>
  </cellStyles>
  <dxfs count="4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Normal="100" workbookViewId="0">
      <selection activeCell="A1" sqref="A1"/>
    </sheetView>
  </sheetViews>
  <sheetFormatPr baseColWidth="8" defaultColWidth="8.6640625" defaultRowHeight="14.4"/>
  <cols>
    <col width="13" customWidth="1" min="1" max="1"/>
    <col width="44" customWidth="1" min="2" max="2"/>
    <col width="9" customWidth="1" min="3" max="3"/>
    <col width="7" customWidth="1" min="4" max="4"/>
    <col width="8" customWidth="1" min="5" max="6"/>
    <col width="9" customWidth="1" min="7" max="7"/>
    <col width="7" customWidth="1" min="8" max="8"/>
    <col width="13" customWidth="1" min="9" max="9"/>
    <col width="11" customWidth="1" min="10" max="10"/>
    <col width="9" customWidth="1" min="11" max="11"/>
  </cols>
  <sheetData>
    <row r="1" ht="17.4" customHeight="1">
      <c r="A1" s="2" t="inlineStr">
        <is>
          <t>Hour Log Adjustment – Manual Test Execution Summary (Web cases only)</t>
        </is>
      </c>
    </row>
    <row r="2">
      <c r="A2" s="3" t="inlineStr">
        <is>
          <t>Source: AgriERP FSCM – Hour Log Adjustment, Product Specifications Document v1.0 (Folio3, Aug 17, 2026) · Filtered to Platform = Web (95 of 246 cases); Mobile, Integration and ERP cases removed. Column Q maps each case to the Playwright plan (playwright/test-plans/authenticated/hour-log-adjustment.md).</t>
        </is>
      </c>
    </row>
    <row r="4" ht="26.4" customHeight="1">
      <c r="A4" s="4" t="inlineStr">
        <is>
          <t>Module Code</t>
        </is>
      </c>
      <c r="B4" s="4" t="inlineStr">
        <is>
          <t>Module</t>
        </is>
      </c>
      <c r="C4" s="4" t="inlineStr">
        <is>
          <t>Total</t>
        </is>
      </c>
      <c r="D4" s="4" t="inlineStr">
        <is>
          <t>P1</t>
        </is>
      </c>
      <c r="E4" s="4" t="inlineStr">
        <is>
          <t>Pass</t>
        </is>
      </c>
      <c r="F4" s="4" t="inlineStr">
        <is>
          <t>Fail</t>
        </is>
      </c>
      <c r="G4" s="4" t="inlineStr">
        <is>
          <t>Blocked</t>
        </is>
      </c>
      <c r="H4" s="4" t="inlineStr">
        <is>
          <t>N/A</t>
        </is>
      </c>
      <c r="I4" s="4" t="inlineStr">
        <is>
          <t>Not Executed</t>
        </is>
      </c>
      <c r="J4" s="4" t="inlineStr">
        <is>
          <t>Executed %</t>
        </is>
      </c>
      <c r="K4" s="4" t="inlineStr">
        <is>
          <t>Pass %</t>
        </is>
      </c>
    </row>
    <row r="5">
      <c r="A5" s="5" t="inlineStr">
        <is>
          <t>FS</t>
        </is>
      </c>
      <c r="B5" s="5" t="inlineStr">
        <is>
          <t>Feature-Based Access</t>
        </is>
      </c>
      <c r="C5" s="6">
        <f>COUNTIF('Test Cases'!$B$2:$B$96,B5)</f>
        <v/>
      </c>
      <c r="D5" s="6">
        <f>COUNTIFS('Test Cases'!$B$2:$B$96,B5,'Test Cases'!$H$2:$H$96,"P1")</f>
        <v/>
      </c>
      <c r="E5" s="6">
        <f>COUNTIFS('Test Cases'!$B$2:$B$96,$B5,'Test Cases'!$M$2:$M$96,"Pass")</f>
        <v/>
      </c>
      <c r="F5" s="6">
        <f>COUNTIFS('Test Cases'!$B$2:$B$96,$B5,'Test Cases'!$M$2:$M$96,"Fail")</f>
        <v/>
      </c>
      <c r="G5" s="6">
        <f>COUNTIFS('Test Cases'!$B$2:$B$96,$B5,'Test Cases'!$M$2:$M$96,"Blocked")</f>
        <v/>
      </c>
      <c r="H5" s="6">
        <f>COUNTIFS('Test Cases'!$B$2:$B$96,$B5,'Test Cases'!$M$2:$M$96,"N/A")</f>
        <v/>
      </c>
      <c r="I5" s="6">
        <f>COUNTIFS('Test Cases'!$B$2:$B$96,$B5,'Test Cases'!$M$2:$M$96,"Not Executed")</f>
        <v/>
      </c>
      <c r="J5" s="7">
        <f>IF(C5=0,0,(C5-I5)/C5)</f>
        <v/>
      </c>
      <c r="K5" s="7">
        <f>IF((C5-I5-H5)=0,0,E5/(C5-I5-H5))</f>
        <v/>
      </c>
    </row>
    <row r="6">
      <c r="A6" s="5" t="inlineStr">
        <is>
          <t>RL</t>
        </is>
      </c>
      <c r="B6" s="5" t="inlineStr">
        <is>
          <t>Roles, Permissions &amp; Tab Visibility</t>
        </is>
      </c>
      <c r="C6" s="6">
        <f>COUNTIF('Test Cases'!$B$2:$B$96,B6)</f>
        <v/>
      </c>
      <c r="D6" s="6">
        <f>COUNTIFS('Test Cases'!$B$2:$B$96,B6,'Test Cases'!$H$2:$H$96,"P1")</f>
        <v/>
      </c>
      <c r="E6" s="6">
        <f>COUNTIFS('Test Cases'!$B$2:$B$96,$B6,'Test Cases'!$M$2:$M$96,"Pass")</f>
        <v/>
      </c>
      <c r="F6" s="6">
        <f>COUNTIFS('Test Cases'!$B$2:$B$96,$B6,'Test Cases'!$M$2:$M$96,"Fail")</f>
        <v/>
      </c>
      <c r="G6" s="6">
        <f>COUNTIFS('Test Cases'!$B$2:$B$96,$B6,'Test Cases'!$M$2:$M$96,"Blocked")</f>
        <v/>
      </c>
      <c r="H6" s="6">
        <f>COUNTIFS('Test Cases'!$B$2:$B$96,$B6,'Test Cases'!$M$2:$M$96,"N/A")</f>
        <v/>
      </c>
      <c r="I6" s="6">
        <f>COUNTIFS('Test Cases'!$B$2:$B$96,$B6,'Test Cases'!$M$2:$M$96,"Not Executed")</f>
        <v/>
      </c>
      <c r="J6" s="7">
        <f>IF(C6=0,0,(C6-I6)/C6)</f>
        <v/>
      </c>
      <c r="K6" s="7">
        <f>IF((C6-I6-H6)=0,0,E6/(C6-I6-H6))</f>
        <v/>
      </c>
    </row>
    <row r="7">
      <c r="A7" s="5" t="inlineStr">
        <is>
          <t>VL</t>
        </is>
      </c>
      <c r="B7" s="5" t="inlineStr">
        <is>
          <t>Validations – Mobile Form</t>
        </is>
      </c>
      <c r="C7" s="6">
        <f>COUNTIF('Test Cases'!$B$2:$B$96,B7)</f>
        <v/>
      </c>
      <c r="D7" s="6">
        <f>COUNTIFS('Test Cases'!$B$2:$B$96,B7,'Test Cases'!$H$2:$H$96,"P1")</f>
        <v/>
      </c>
      <c r="E7" s="6">
        <f>COUNTIFS('Test Cases'!$B$2:$B$96,$B7,'Test Cases'!$M$2:$M$96,"Pass")</f>
        <v/>
      </c>
      <c r="F7" s="6">
        <f>COUNTIFS('Test Cases'!$B$2:$B$96,$B7,'Test Cases'!$M$2:$M$96,"Fail")</f>
        <v/>
      </c>
      <c r="G7" s="6">
        <f>COUNTIFS('Test Cases'!$B$2:$B$96,$B7,'Test Cases'!$M$2:$M$96,"Blocked")</f>
        <v/>
      </c>
      <c r="H7" s="6">
        <f>COUNTIFS('Test Cases'!$B$2:$B$96,$B7,'Test Cases'!$M$2:$M$96,"N/A")</f>
        <v/>
      </c>
      <c r="I7" s="6">
        <f>COUNTIFS('Test Cases'!$B$2:$B$96,$B7,'Test Cases'!$M$2:$M$96,"Not Executed")</f>
        <v/>
      </c>
      <c r="J7" s="7">
        <f>IF(C7=0,0,(C7-I7)/C7)</f>
        <v/>
      </c>
      <c r="K7" s="7">
        <f>IF((C7-I7-H7)=0,0,E7/(C7-I7-H7))</f>
        <v/>
      </c>
    </row>
    <row r="8">
      <c r="A8" s="5" t="inlineStr">
        <is>
          <t>WS</t>
        </is>
      </c>
      <c r="B8" s="5" t="inlineStr">
        <is>
          <t>Work Order Status Rules</t>
        </is>
      </c>
      <c r="C8" s="6">
        <f>COUNTIF('Test Cases'!$B$2:$B$96,B8)</f>
        <v/>
      </c>
      <c r="D8" s="6">
        <f>COUNTIFS('Test Cases'!$B$2:$B$96,B8,'Test Cases'!$H$2:$H$96,"P1")</f>
        <v/>
      </c>
      <c r="E8" s="6">
        <f>COUNTIFS('Test Cases'!$B$2:$B$96,$B8,'Test Cases'!$M$2:$M$96,"Pass")</f>
        <v/>
      </c>
      <c r="F8" s="6">
        <f>COUNTIFS('Test Cases'!$B$2:$B$96,$B8,'Test Cases'!$M$2:$M$96,"Fail")</f>
        <v/>
      </c>
      <c r="G8" s="6">
        <f>COUNTIFS('Test Cases'!$B$2:$B$96,$B8,'Test Cases'!$M$2:$M$96,"Blocked")</f>
        <v/>
      </c>
      <c r="H8" s="6">
        <f>COUNTIFS('Test Cases'!$B$2:$B$96,$B8,'Test Cases'!$M$2:$M$96,"N/A")</f>
        <v/>
      </c>
      <c r="I8" s="6">
        <f>COUNTIFS('Test Cases'!$B$2:$B$96,$B8,'Test Cases'!$M$2:$M$96,"Not Executed")</f>
        <v/>
      </c>
      <c r="J8" s="7">
        <f>IF(C8=0,0,(C8-I8)/C8)</f>
        <v/>
      </c>
      <c r="K8" s="7">
        <f>IF((C8-I8-H8)=0,0,E8/(C8-I8-H8))</f>
        <v/>
      </c>
    </row>
    <row r="9">
      <c r="A9" s="5" t="inlineStr">
        <is>
          <t>WC</t>
        </is>
      </c>
      <c r="B9" s="5" t="inlineStr">
        <is>
          <t>Work Order Completion Validation</t>
        </is>
      </c>
      <c r="C9" s="6">
        <f>COUNTIF('Test Cases'!$B$2:$B$96,B9)</f>
        <v/>
      </c>
      <c r="D9" s="6">
        <f>COUNTIFS('Test Cases'!$B$2:$B$96,B9,'Test Cases'!$H$2:$H$96,"P1")</f>
        <v/>
      </c>
      <c r="E9" s="6">
        <f>COUNTIFS('Test Cases'!$B$2:$B$96,$B9,'Test Cases'!$M$2:$M$96,"Pass")</f>
        <v/>
      </c>
      <c r="F9" s="6">
        <f>COUNTIFS('Test Cases'!$B$2:$B$96,$B9,'Test Cases'!$M$2:$M$96,"Fail")</f>
        <v/>
      </c>
      <c r="G9" s="6">
        <f>COUNTIFS('Test Cases'!$B$2:$B$96,$B9,'Test Cases'!$M$2:$M$96,"Blocked")</f>
        <v/>
      </c>
      <c r="H9" s="6">
        <f>COUNTIFS('Test Cases'!$B$2:$B$96,$B9,'Test Cases'!$M$2:$M$96,"N/A")</f>
        <v/>
      </c>
      <c r="I9" s="6">
        <f>COUNTIFS('Test Cases'!$B$2:$B$96,$B9,'Test Cases'!$M$2:$M$96,"Not Executed")</f>
        <v/>
      </c>
      <c r="J9" s="7">
        <f>IF(C9=0,0,(C9-I9)/C9)</f>
        <v/>
      </c>
      <c r="K9" s="7">
        <f>IF((C9-I9-H9)=0,0,E9/(C9-I9-H9))</f>
        <v/>
      </c>
    </row>
    <row r="10">
      <c r="A10" s="5" t="inlineStr">
        <is>
          <t>WR</t>
        </is>
      </c>
      <c r="B10" s="5" t="inlineStr">
        <is>
          <t>Web – Resources Table</t>
        </is>
      </c>
      <c r="C10" s="6">
        <f>COUNTIF('Test Cases'!$B$2:$B$96,B10)</f>
        <v/>
      </c>
      <c r="D10" s="6">
        <f>COUNTIFS('Test Cases'!$B$2:$B$96,B10,'Test Cases'!$H$2:$H$96,"P1")</f>
        <v/>
      </c>
      <c r="E10" s="6">
        <f>COUNTIFS('Test Cases'!$B$2:$B$96,$B10,'Test Cases'!$M$2:$M$96,"Pass")</f>
        <v/>
      </c>
      <c r="F10" s="6">
        <f>COUNTIFS('Test Cases'!$B$2:$B$96,$B10,'Test Cases'!$M$2:$M$96,"Fail")</f>
        <v/>
      </c>
      <c r="G10" s="6">
        <f>COUNTIFS('Test Cases'!$B$2:$B$96,$B10,'Test Cases'!$M$2:$M$96,"Blocked")</f>
        <v/>
      </c>
      <c r="H10" s="6">
        <f>COUNTIFS('Test Cases'!$B$2:$B$96,$B10,'Test Cases'!$M$2:$M$96,"N/A")</f>
        <v/>
      </c>
      <c r="I10" s="6">
        <f>COUNTIFS('Test Cases'!$B$2:$B$96,$B10,'Test Cases'!$M$2:$M$96,"Not Executed")</f>
        <v/>
      </c>
      <c r="J10" s="7">
        <f>IF(C10=0,0,(C10-I10)/C10)</f>
        <v/>
      </c>
      <c r="K10" s="7">
        <f>IF((C10-I10-H10)=0,0,E10/(C10-I10-H10))</f>
        <v/>
      </c>
    </row>
    <row r="11">
      <c r="A11" s="5" t="inlineStr">
        <is>
          <t>WD</t>
        </is>
      </c>
      <c r="B11" s="5" t="inlineStr">
        <is>
          <t>Web – Hour Log Change Requests Drawer</t>
        </is>
      </c>
      <c r="C11" s="6">
        <f>COUNTIF('Test Cases'!$B$2:$B$96,B11)</f>
        <v/>
      </c>
      <c r="D11" s="6">
        <f>COUNTIFS('Test Cases'!$B$2:$B$96,B11,'Test Cases'!$H$2:$H$96,"P1")</f>
        <v/>
      </c>
      <c r="E11" s="6">
        <f>COUNTIFS('Test Cases'!$B$2:$B$96,$B11,'Test Cases'!$M$2:$M$96,"Pass")</f>
        <v/>
      </c>
      <c r="F11" s="6">
        <f>COUNTIFS('Test Cases'!$B$2:$B$96,$B11,'Test Cases'!$M$2:$M$96,"Fail")</f>
        <v/>
      </c>
      <c r="G11" s="6">
        <f>COUNTIFS('Test Cases'!$B$2:$B$96,$B11,'Test Cases'!$M$2:$M$96,"Blocked")</f>
        <v/>
      </c>
      <c r="H11" s="6">
        <f>COUNTIFS('Test Cases'!$B$2:$B$96,$B11,'Test Cases'!$M$2:$M$96,"N/A")</f>
        <v/>
      </c>
      <c r="I11" s="6">
        <f>COUNTIFS('Test Cases'!$B$2:$B$96,$B11,'Test Cases'!$M$2:$M$96,"Not Executed")</f>
        <v/>
      </c>
      <c r="J11" s="7">
        <f>IF(C11=0,0,(C11-I11)/C11)</f>
        <v/>
      </c>
      <c r="K11" s="7">
        <f>IF((C11-I11-H11)=0,0,E11/(C11-I11-H11))</f>
        <v/>
      </c>
    </row>
    <row r="12">
      <c r="A12" s="5" t="inlineStr">
        <is>
          <t>AP</t>
        </is>
      </c>
      <c r="B12" s="5" t="inlineStr">
        <is>
          <t>Web – Approve</t>
        </is>
      </c>
      <c r="C12" s="6">
        <f>COUNTIF('Test Cases'!$B$2:$B$96,B12)</f>
        <v/>
      </c>
      <c r="D12" s="6">
        <f>COUNTIFS('Test Cases'!$B$2:$B$96,B12,'Test Cases'!$H$2:$H$96,"P1")</f>
        <v/>
      </c>
      <c r="E12" s="6">
        <f>COUNTIFS('Test Cases'!$B$2:$B$96,$B12,'Test Cases'!$M$2:$M$96,"Pass")</f>
        <v/>
      </c>
      <c r="F12" s="6">
        <f>COUNTIFS('Test Cases'!$B$2:$B$96,$B12,'Test Cases'!$M$2:$M$96,"Fail")</f>
        <v/>
      </c>
      <c r="G12" s="6">
        <f>COUNTIFS('Test Cases'!$B$2:$B$96,$B12,'Test Cases'!$M$2:$M$96,"Blocked")</f>
        <v/>
      </c>
      <c r="H12" s="6">
        <f>COUNTIFS('Test Cases'!$B$2:$B$96,$B12,'Test Cases'!$M$2:$M$96,"N/A")</f>
        <v/>
      </c>
      <c r="I12" s="6">
        <f>COUNTIFS('Test Cases'!$B$2:$B$96,$B12,'Test Cases'!$M$2:$M$96,"Not Executed")</f>
        <v/>
      </c>
      <c r="J12" s="7">
        <f>IF(C12=0,0,(C12-I12)/C12)</f>
        <v/>
      </c>
      <c r="K12" s="7">
        <f>IF((C12-I12-H12)=0,0,E12/(C12-I12-H12))</f>
        <v/>
      </c>
    </row>
    <row r="13">
      <c r="A13" s="5" t="inlineStr">
        <is>
          <t>AD</t>
        </is>
      </c>
      <c r="B13" s="5" t="inlineStr">
        <is>
          <t>Web – Adjust</t>
        </is>
      </c>
      <c r="C13" s="6">
        <f>COUNTIF('Test Cases'!$B$2:$B$96,B13)</f>
        <v/>
      </c>
      <c r="D13" s="6">
        <f>COUNTIFS('Test Cases'!$B$2:$B$96,B13,'Test Cases'!$H$2:$H$96,"P1")</f>
        <v/>
      </c>
      <c r="E13" s="6">
        <f>COUNTIFS('Test Cases'!$B$2:$B$96,$B13,'Test Cases'!$M$2:$M$96,"Pass")</f>
        <v/>
      </c>
      <c r="F13" s="6">
        <f>COUNTIFS('Test Cases'!$B$2:$B$96,$B13,'Test Cases'!$M$2:$M$96,"Fail")</f>
        <v/>
      </c>
      <c r="G13" s="6">
        <f>COUNTIFS('Test Cases'!$B$2:$B$96,$B13,'Test Cases'!$M$2:$M$96,"Blocked")</f>
        <v/>
      </c>
      <c r="H13" s="6">
        <f>COUNTIFS('Test Cases'!$B$2:$B$96,$B13,'Test Cases'!$M$2:$M$96,"N/A")</f>
        <v/>
      </c>
      <c r="I13" s="6">
        <f>COUNTIFS('Test Cases'!$B$2:$B$96,$B13,'Test Cases'!$M$2:$M$96,"Not Executed")</f>
        <v/>
      </c>
      <c r="J13" s="7">
        <f>IF(C13=0,0,(C13-I13)/C13)</f>
        <v/>
      </c>
      <c r="K13" s="7">
        <f>IF((C13-I13-H13)=0,0,E13/(C13-I13-H13))</f>
        <v/>
      </c>
    </row>
    <row r="14">
      <c r="A14" s="5" t="inlineStr">
        <is>
          <t>RJ</t>
        </is>
      </c>
      <c r="B14" s="5" t="inlineStr">
        <is>
          <t>Web – Reject</t>
        </is>
      </c>
      <c r="C14" s="6">
        <f>COUNTIF('Test Cases'!$B$2:$B$96,B14)</f>
        <v/>
      </c>
      <c r="D14" s="6">
        <f>COUNTIFS('Test Cases'!$B$2:$B$96,B14,'Test Cases'!$H$2:$H$96,"P1")</f>
        <v/>
      </c>
      <c r="E14" s="6">
        <f>COUNTIFS('Test Cases'!$B$2:$B$96,$B14,'Test Cases'!$M$2:$M$96,"Pass")</f>
        <v/>
      </c>
      <c r="F14" s="6">
        <f>COUNTIFS('Test Cases'!$B$2:$B$96,$B14,'Test Cases'!$M$2:$M$96,"Fail")</f>
        <v/>
      </c>
      <c r="G14" s="6">
        <f>COUNTIFS('Test Cases'!$B$2:$B$96,$B14,'Test Cases'!$M$2:$M$96,"Blocked")</f>
        <v/>
      </c>
      <c r="H14" s="6">
        <f>COUNTIFS('Test Cases'!$B$2:$B$96,$B14,'Test Cases'!$M$2:$M$96,"N/A")</f>
        <v/>
      </c>
      <c r="I14" s="6">
        <f>COUNTIFS('Test Cases'!$B$2:$B$96,$B14,'Test Cases'!$M$2:$M$96,"Not Executed")</f>
        <v/>
      </c>
      <c r="J14" s="7">
        <f>IF(C14=0,0,(C14-I14)/C14)</f>
        <v/>
      </c>
      <c r="K14" s="7">
        <f>IF((C14-I14-H14)=0,0,E14/(C14-I14-H14))</f>
        <v/>
      </c>
    </row>
    <row r="15">
      <c r="A15" s="5" t="inlineStr">
        <is>
          <t>OV</t>
        </is>
      </c>
      <c r="B15" s="5" t="inlineStr">
        <is>
          <t>Overlap &amp; Redistribution (Web Only)</t>
        </is>
      </c>
      <c r="C15" s="6">
        <f>COUNTIF('Test Cases'!$B$2:$B$96,B15)</f>
        <v/>
      </c>
      <c r="D15" s="6">
        <f>COUNTIFS('Test Cases'!$B$2:$B$96,B15,'Test Cases'!$H$2:$H$96,"P1")</f>
        <v/>
      </c>
      <c r="E15" s="6">
        <f>COUNTIFS('Test Cases'!$B$2:$B$96,$B15,'Test Cases'!$M$2:$M$96,"Pass")</f>
        <v/>
      </c>
      <c r="F15" s="6">
        <f>COUNTIFS('Test Cases'!$B$2:$B$96,$B15,'Test Cases'!$M$2:$M$96,"Fail")</f>
        <v/>
      </c>
      <c r="G15" s="6">
        <f>COUNTIFS('Test Cases'!$B$2:$B$96,$B15,'Test Cases'!$M$2:$M$96,"Blocked")</f>
        <v/>
      </c>
      <c r="H15" s="6">
        <f>COUNTIFS('Test Cases'!$B$2:$B$96,$B15,'Test Cases'!$M$2:$M$96,"N/A")</f>
        <v/>
      </c>
      <c r="I15" s="6">
        <f>COUNTIFS('Test Cases'!$B$2:$B$96,$B15,'Test Cases'!$M$2:$M$96,"Not Executed")</f>
        <v/>
      </c>
      <c r="J15" s="7">
        <f>IF(C15=0,0,(C15-I15)/C15)</f>
        <v/>
      </c>
      <c r="K15" s="7">
        <f>IF((C15-I15-H15)=0,0,E15/(C15-I15-H15))</f>
        <v/>
      </c>
    </row>
    <row r="16">
      <c r="A16" s="5" t="inlineStr">
        <is>
          <t>PR</t>
        </is>
      </c>
      <c r="B16" s="5" t="inlineStr">
        <is>
          <t>Per-Resource Application</t>
        </is>
      </c>
      <c r="C16" s="6">
        <f>COUNTIF('Test Cases'!$B$2:$B$96,B16)</f>
        <v/>
      </c>
      <c r="D16" s="6">
        <f>COUNTIFS('Test Cases'!$B$2:$B$96,B16,'Test Cases'!$H$2:$H$96,"P1")</f>
        <v/>
      </c>
      <c r="E16" s="6">
        <f>COUNTIFS('Test Cases'!$B$2:$B$96,$B16,'Test Cases'!$M$2:$M$96,"Pass")</f>
        <v/>
      </c>
      <c r="F16" s="6">
        <f>COUNTIFS('Test Cases'!$B$2:$B$96,$B16,'Test Cases'!$M$2:$M$96,"Fail")</f>
        <v/>
      </c>
      <c r="G16" s="6">
        <f>COUNTIFS('Test Cases'!$B$2:$B$96,$B16,'Test Cases'!$M$2:$M$96,"Blocked")</f>
        <v/>
      </c>
      <c r="H16" s="6">
        <f>COUNTIFS('Test Cases'!$B$2:$B$96,$B16,'Test Cases'!$M$2:$M$96,"N/A")</f>
        <v/>
      </c>
      <c r="I16" s="6">
        <f>COUNTIFS('Test Cases'!$B$2:$B$96,$B16,'Test Cases'!$M$2:$M$96,"Not Executed")</f>
        <v/>
      </c>
      <c r="J16" s="7">
        <f>IF(C16=0,0,(C16-I16)/C16)</f>
        <v/>
      </c>
      <c r="K16" s="7">
        <f>IF((C16-I16-H16)=0,0,E16/(C16-I16-H16))</f>
        <v/>
      </c>
    </row>
    <row r="17">
      <c r="A17" s="5" t="inlineStr">
        <is>
          <t>NT</t>
        </is>
      </c>
      <c r="B17" s="5" t="inlineStr">
        <is>
          <t>Notifications</t>
        </is>
      </c>
      <c r="C17" s="6">
        <f>COUNTIF('Test Cases'!$B$2:$B$96,B17)</f>
        <v/>
      </c>
      <c r="D17" s="6">
        <f>COUNTIFS('Test Cases'!$B$2:$B$96,B17,'Test Cases'!$H$2:$H$96,"P1")</f>
        <v/>
      </c>
      <c r="E17" s="6">
        <f>COUNTIFS('Test Cases'!$B$2:$B$96,$B17,'Test Cases'!$M$2:$M$96,"Pass")</f>
        <v/>
      </c>
      <c r="F17" s="6">
        <f>COUNTIFS('Test Cases'!$B$2:$B$96,$B17,'Test Cases'!$M$2:$M$96,"Fail")</f>
        <v/>
      </c>
      <c r="G17" s="6">
        <f>COUNTIFS('Test Cases'!$B$2:$B$96,$B17,'Test Cases'!$M$2:$M$96,"Blocked")</f>
        <v/>
      </c>
      <c r="H17" s="6">
        <f>COUNTIFS('Test Cases'!$B$2:$B$96,$B17,'Test Cases'!$M$2:$M$96,"N/A")</f>
        <v/>
      </c>
      <c r="I17" s="6">
        <f>COUNTIFS('Test Cases'!$B$2:$B$96,$B17,'Test Cases'!$M$2:$M$96,"Not Executed")</f>
        <v/>
      </c>
      <c r="J17" s="7">
        <f>IF(C17=0,0,(C17-I17)/C17)</f>
        <v/>
      </c>
      <c r="K17" s="7">
        <f>IF((C17-I17-H17)=0,0,E17/(C17-I17-H17))</f>
        <v/>
      </c>
    </row>
    <row r="18">
      <c r="A18" s="5" t="inlineStr">
        <is>
          <t>AU</t>
        </is>
      </c>
      <c r="B18" s="5" t="inlineStr">
        <is>
          <t>Audit Log</t>
        </is>
      </c>
      <c r="C18" s="6">
        <f>COUNTIF('Test Cases'!$B$2:$B$96,B18)</f>
        <v/>
      </c>
      <c r="D18" s="6">
        <f>COUNTIFS('Test Cases'!$B$2:$B$96,B18,'Test Cases'!$H$2:$H$96,"P1")</f>
        <v/>
      </c>
      <c r="E18" s="6">
        <f>COUNTIFS('Test Cases'!$B$2:$B$96,$B18,'Test Cases'!$M$2:$M$96,"Pass")</f>
        <v/>
      </c>
      <c r="F18" s="6">
        <f>COUNTIFS('Test Cases'!$B$2:$B$96,$B18,'Test Cases'!$M$2:$M$96,"Fail")</f>
        <v/>
      </c>
      <c r="G18" s="6">
        <f>COUNTIFS('Test Cases'!$B$2:$B$96,$B18,'Test Cases'!$M$2:$M$96,"Blocked")</f>
        <v/>
      </c>
      <c r="H18" s="6">
        <f>COUNTIFS('Test Cases'!$B$2:$B$96,$B18,'Test Cases'!$M$2:$M$96,"N/A")</f>
        <v/>
      </c>
      <c r="I18" s="6">
        <f>COUNTIFS('Test Cases'!$B$2:$B$96,$B18,'Test Cases'!$M$2:$M$96,"Not Executed")</f>
        <v/>
      </c>
      <c r="J18" s="7">
        <f>IF(C18=0,0,(C18-I18)/C18)</f>
        <v/>
      </c>
      <c r="K18" s="7">
        <f>IF((C18-I18-H18)=0,0,E18/(C18-I18-H18))</f>
        <v/>
      </c>
    </row>
    <row r="19">
      <c r="A19" s="5" t="inlineStr">
        <is>
          <t>DD</t>
        </is>
      </c>
      <c r="B19" s="5" t="inlineStr">
        <is>
          <t>Data Dictionary &amp; Data Integrity</t>
        </is>
      </c>
      <c r="C19" s="6">
        <f>COUNTIF('Test Cases'!$B$2:$B$96,B19)</f>
        <v/>
      </c>
      <c r="D19" s="6">
        <f>COUNTIFS('Test Cases'!$B$2:$B$96,B19,'Test Cases'!$H$2:$H$96,"P1")</f>
        <v/>
      </c>
      <c r="E19" s="6">
        <f>COUNTIFS('Test Cases'!$B$2:$B$96,$B19,'Test Cases'!$M$2:$M$96,"Pass")</f>
        <v/>
      </c>
      <c r="F19" s="6">
        <f>COUNTIFS('Test Cases'!$B$2:$B$96,$B19,'Test Cases'!$M$2:$M$96,"Fail")</f>
        <v/>
      </c>
      <c r="G19" s="6">
        <f>COUNTIFS('Test Cases'!$B$2:$B$96,$B19,'Test Cases'!$M$2:$M$96,"Blocked")</f>
        <v/>
      </c>
      <c r="H19" s="6">
        <f>COUNTIFS('Test Cases'!$B$2:$B$96,$B19,'Test Cases'!$M$2:$M$96,"N/A")</f>
        <v/>
      </c>
      <c r="I19" s="6">
        <f>COUNTIFS('Test Cases'!$B$2:$B$96,$B19,'Test Cases'!$M$2:$M$96,"Not Executed")</f>
        <v/>
      </c>
      <c r="J19" s="7">
        <f>IF(C19=0,0,(C19-I19)/C19)</f>
        <v/>
      </c>
      <c r="K19" s="7">
        <f>IF((C19-I19-H19)=0,0,E19/(C19-I19-H19))</f>
        <v/>
      </c>
    </row>
    <row r="20">
      <c r="A20" s="5" t="inlineStr">
        <is>
          <t>UI</t>
        </is>
      </c>
      <c r="B20" s="5" t="inlineStr">
        <is>
          <t>UI, Compatibility &amp; Non-Functional</t>
        </is>
      </c>
      <c r="C20" s="6">
        <f>COUNTIF('Test Cases'!$B$2:$B$96,B20)</f>
        <v/>
      </c>
      <c r="D20" s="6">
        <f>COUNTIFS('Test Cases'!$B$2:$B$96,B20,'Test Cases'!$H$2:$H$96,"P1")</f>
        <v/>
      </c>
      <c r="E20" s="6">
        <f>COUNTIFS('Test Cases'!$B$2:$B$96,$B20,'Test Cases'!$M$2:$M$96,"Pass")</f>
        <v/>
      </c>
      <c r="F20" s="6">
        <f>COUNTIFS('Test Cases'!$B$2:$B$96,$B20,'Test Cases'!$M$2:$M$96,"Fail")</f>
        <v/>
      </c>
      <c r="G20" s="6">
        <f>COUNTIFS('Test Cases'!$B$2:$B$96,$B20,'Test Cases'!$M$2:$M$96,"Blocked")</f>
        <v/>
      </c>
      <c r="H20" s="6">
        <f>COUNTIFS('Test Cases'!$B$2:$B$96,$B20,'Test Cases'!$M$2:$M$96,"N/A")</f>
        <v/>
      </c>
      <c r="I20" s="6">
        <f>COUNTIFS('Test Cases'!$B$2:$B$96,$B20,'Test Cases'!$M$2:$M$96,"Not Executed")</f>
        <v/>
      </c>
      <c r="J20" s="7">
        <f>IF(C20=0,0,(C20-I20)/C20)</f>
        <v/>
      </c>
      <c r="K20" s="7">
        <f>IF((C20-I20-H20)=0,0,E20/(C20-I20-H20))</f>
        <v/>
      </c>
    </row>
    <row r="21">
      <c r="A21" s="8" t="n"/>
      <c r="B21" s="8" t="inlineStr">
        <is>
          <t>TOTAL</t>
        </is>
      </c>
      <c r="C21" s="9">
        <f>SUM(C5:C20)</f>
        <v/>
      </c>
      <c r="D21" s="9">
        <f>SUM(D5:D20)</f>
        <v/>
      </c>
      <c r="E21" s="9">
        <f>SUM(E5:E20)</f>
        <v/>
      </c>
      <c r="F21" s="9">
        <f>SUM(F5:F20)</f>
        <v/>
      </c>
      <c r="G21" s="9">
        <f>SUM(G5:G20)</f>
        <v/>
      </c>
      <c r="H21" s="9">
        <f>SUM(H5:H20)</f>
        <v/>
      </c>
      <c r="I21" s="9">
        <f>SUM(I5:I20)</f>
        <v/>
      </c>
      <c r="J21" s="10">
        <f>IF(C21=0,0,(C21-I21)/C21)</f>
        <v/>
      </c>
      <c r="K21" s="10">
        <f>IF((C21-I21-H21)=0,0,E21/(C21-I21-H21))</f>
        <v/>
      </c>
    </row>
    <row r="22"/>
    <row r="23">
      <c r="A23" s="11" t="inlineStr">
        <is>
          <t>By Priority</t>
        </is>
      </c>
    </row>
    <row r="24">
      <c r="A24" s="4" t="inlineStr">
        <is>
          <t>Priority</t>
        </is>
      </c>
      <c r="B24" s="4" t="inlineStr">
        <is>
          <t>Meaning</t>
        </is>
      </c>
      <c r="C24" s="4" t="inlineStr">
        <is>
          <t>Total</t>
        </is>
      </c>
    </row>
    <row r="25">
      <c r="A25" s="12" t="inlineStr">
        <is>
          <t>P1</t>
        </is>
      </c>
      <c r="B25" s="12" t="inlineStr">
        <is>
          <t>Critical – core flow / data correctness</t>
        </is>
      </c>
      <c r="C25" s="12">
        <f>COUNTIF('Test Cases'!$H$2:$H$96,A25)</f>
        <v/>
      </c>
    </row>
    <row r="26">
      <c r="A26" s="12" t="inlineStr">
        <is>
          <t>P2</t>
        </is>
      </c>
      <c r="B26" s="12" t="inlineStr">
        <is>
          <t>High – important behaviour</t>
        </is>
      </c>
      <c r="C26" s="12">
        <f>COUNTIF('Test Cases'!$H$2:$H$96,A26)</f>
        <v/>
      </c>
    </row>
    <row r="27">
      <c r="A27" s="12" t="inlineStr">
        <is>
          <t>P3</t>
        </is>
      </c>
      <c r="B27" s="12" t="inlineStr">
        <is>
          <t>Medium – edge case</t>
        </is>
      </c>
      <c r="C27" s="12">
        <f>COUNTIF('Test Cases'!$H$2:$H$96,A27)</f>
        <v/>
      </c>
    </row>
    <row r="28">
      <c r="A28" s="12" t="inlineStr">
        <is>
          <t>P4</t>
        </is>
      </c>
      <c r="B28" s="12" t="inlineStr">
        <is>
          <t>Low – cosmetic</t>
        </is>
      </c>
      <c r="C28" s="12">
        <f>COUNTIF('Test Cases'!$H$2:$H$96,A28)</f>
        <v/>
      </c>
    </row>
    <row r="29"/>
    <row r="30"/>
    <row r="31">
      <c r="A31" s="11" t="inlineStr">
        <is>
          <t>How to use</t>
        </is>
      </c>
    </row>
    <row r="32">
      <c r="A32" s="1" t="inlineStr">
        <is>
          <t>• Execute cases on the 'Test Cases' tab. Fill only the yellow columns: Actual Result, Status, Executed By, Execution Date, Bug ID / Remarks.</t>
        </is>
      </c>
    </row>
    <row r="33">
      <c r="A33" s="1" t="inlineStr">
        <is>
          <t>• Status dropdown: Not Executed, Pass, Fail, Blocked, N/A. This summary updates automatically.</t>
        </is>
      </c>
    </row>
    <row r="34">
      <c r="A34" s="1" t="inlineStr">
        <is>
          <t>• Example of a filled row: Actual Result 'Chip shows 2 to review' · Status 'Pass' · Executed By 'QA-Ali' · Execution Date '28-Sep-2026' · Remarks '-'.</t>
        </is>
      </c>
    </row>
    <row r="35">
      <c r="A35" s="1" t="inlineStr">
        <is>
          <t>• Cases whose expected result says 'confirm CL-xx' depend on an open question on the 'Clarifications' tab – resolve it before marking Pass/Fail.</t>
        </is>
      </c>
    </row>
    <row r="36">
      <c r="A36" s="1" t="inlineStr">
        <is>
          <t>• Pass % excludes Not Executed and N/A cases.</t>
        </is>
      </c>
    </row>
    <row r="40" ht="27.75" customHeight="1"/>
    <row r="41" ht="27.75" customHeight="1"/>
    <row r="42" ht="27.75" customHeight="1"/>
    <row r="43" ht="27.75" customHeight="1"/>
    <row r="44" ht="27.75" customHeight="1"/>
  </sheetData>
  <mergeCells count="5">
    <mergeCell ref="A34:K34"/>
    <mergeCell ref="A35:K35"/>
    <mergeCell ref="A33:K33"/>
    <mergeCell ref="A32:K32"/>
    <mergeCell ref="A36:K3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tabSelected="1" zoomScaleNormal="100" workbookViewId="0">
      <pane xSplit="3" ySplit="1" topLeftCell="H17" activePane="bottomRight" state="frozen"/>
      <selection pane="topRight" activeCell="D1" sqref="D1"/>
      <selection pane="bottomLeft" activeCell="A2" sqref="A2"/>
      <selection pane="bottomRight" activeCell="L23" sqref="L23"/>
    </sheetView>
  </sheetViews>
  <sheetFormatPr baseColWidth="8" defaultColWidth="8.6640625" defaultRowHeight="14.4"/>
  <cols>
    <col width="12" customWidth="1" min="1" max="1"/>
    <col width="24" customWidth="1" min="2" max="2"/>
    <col width="38" customWidth="1" min="3" max="3"/>
    <col width="40" customWidth="1" min="4" max="4"/>
    <col width="50" customWidth="1" min="5" max="5"/>
    <col width="26" customWidth="1" min="6" max="6"/>
    <col width="50" customWidth="1" min="7" max="7"/>
    <col width="9" customWidth="1" min="8" max="8"/>
    <col width="13" customWidth="1" min="9" max="9"/>
    <col width="12" customWidth="1" min="10" max="10"/>
    <col width="28" customWidth="1" min="11" max="11"/>
    <col width="30" customWidth="1" min="12" max="12"/>
    <col width="14" customWidth="1" min="13" max="15"/>
    <col width="24" customWidth="1" min="16" max="16"/>
    <col width="55" customWidth="1" min="17" max="17"/>
  </cols>
  <sheetData>
    <row r="1" ht="26.4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Pre-conditions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  <c r="J1" s="4" t="inlineStr">
        <is>
          <t>Platform</t>
        </is>
      </c>
      <c r="K1" s="4" t="inlineStr">
        <is>
          <t>Spec Reference</t>
        </is>
      </c>
      <c r="L1" s="4" t="inlineStr">
        <is>
          <t>Actual Result</t>
        </is>
      </c>
      <c r="M1" s="4" t="inlineStr">
        <is>
          <t>Status</t>
        </is>
      </c>
      <c r="N1" s="4" t="inlineStr">
        <is>
          <t>Executed By</t>
        </is>
      </c>
      <c r="O1" s="4" t="inlineStr">
        <is>
          <t>Execution Date</t>
        </is>
      </c>
      <c r="P1" s="4" t="inlineStr">
        <is>
          <t>Bug ID / Remarks</t>
        </is>
      </c>
      <c r="Q1" s="4" t="inlineStr">
        <is>
          <t>Automation (Playwright)</t>
        </is>
      </c>
    </row>
    <row r="2" ht="66" customHeight="1">
      <c r="A2" s="13" t="inlineStr">
        <is>
          <t>HLA-FS-003</t>
        </is>
      </c>
      <c r="B2" s="14" t="inlineStr">
        <is>
          <t>Feature-Based Access</t>
        </is>
      </c>
      <c r="C2" s="14" t="inlineStr">
        <is>
          <t>Feature ENABLED – Hour Log Changes column and actions on web</t>
        </is>
      </c>
      <c r="D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2" s="14" t="inlineStr">
        <is>
          <t>1. Open WO-000005 on web.
2. Observe Resources table.
3. Click the 'to review' chip.</t>
        </is>
      </c>
      <c r="F2" s="14" t="inlineStr">
        <is>
          <t>WO-000005</t>
        </is>
      </c>
      <c r="G2" s="14" t="inlineStr">
        <is>
          <t>'Hour Log Changes' column is shown. Drawer opens and each request shows Approve, Adjust and Reject actions.</t>
        </is>
      </c>
      <c r="H2" s="13" t="inlineStr">
        <is>
          <t>P1</t>
        </is>
      </c>
      <c r="I2" s="13" t="inlineStr">
        <is>
          <t>Positive</t>
        </is>
      </c>
      <c r="J2" s="13" t="inlineStr">
        <is>
          <t>Web</t>
        </is>
      </c>
      <c r="K2" s="14" t="inlineStr">
        <is>
          <t>Important Point – Feature-Based Access</t>
        </is>
      </c>
      <c r="L2" s="15" t="n"/>
      <c r="M2" s="16" t="inlineStr">
        <is>
          <t>Not Executed</t>
        </is>
      </c>
      <c r="N2" s="15" t="n"/>
      <c r="O2" s="16" t="n"/>
      <c r="P2" s="15" t="n"/>
      <c r="Q2" s="14" t="inlineStr">
        <is>
          <t>Automated: HLA-B02-partial (hour-log-decisions.spec.ts)</t>
        </is>
      </c>
    </row>
    <row r="3" ht="105.6" customHeight="1">
      <c r="A3" s="13" t="inlineStr">
        <is>
          <t>HLA-FS-005</t>
        </is>
      </c>
      <c r="B3" s="14" t="inlineStr">
        <is>
          <t>Feature-Based Access</t>
        </is>
      </c>
      <c r="C3" s="14" t="inlineStr">
        <is>
          <t>Feature DISABLED – decision actions unavailable on web</t>
        </is>
      </c>
      <c r="D3" s="14" t="inlineStr">
        <is>
          <t>Feature disabled. Pending requests exist on WO-000005.</t>
        </is>
      </c>
      <c r="E3" s="14" t="inlineStr">
        <is>
          <t>1. Disable the feature.
2. Log in to web as manager.
3. Open WO-000005 Resources table.</t>
        </is>
      </c>
      <c r="F3" s="14" t="inlineStr">
        <is>
          <t>WO-000005</t>
        </is>
      </c>
      <c r="G3" s="14" t="inlineStr">
        <is>
          <t>Hour Log Changes column/chip and Approve, Adjust, Reject actions are not available. Spent Hours continue to show approved hours.</t>
        </is>
      </c>
      <c r="H3" s="13" t="inlineStr">
        <is>
          <t>P1</t>
        </is>
      </c>
      <c r="I3" s="13" t="inlineStr">
        <is>
          <t>Negative</t>
        </is>
      </c>
      <c r="J3" s="13" t="inlineStr">
        <is>
          <t>Web</t>
        </is>
      </c>
      <c r="K3" s="14" t="inlineStr">
        <is>
          <t>Important Point – Feature-Based Access</t>
        </is>
      </c>
      <c r="L3" s="15" t="n"/>
      <c r="M3" s="16" t="inlineStr">
        <is>
          <t>Not Executed</t>
        </is>
      </c>
      <c r="N3" s="15" t="n"/>
      <c r="O3" s="16" t="n"/>
      <c r="P3" s="15" t="n"/>
      <c r="Q3" s="14" t="inlineStr">
        <is>
          <t>Manual: the Feature Set toggle is tenant-wide on shared QA.</t>
        </is>
      </c>
    </row>
    <row r="4" ht="92.40000000000001" customHeight="1">
      <c r="A4" s="13" t="inlineStr">
        <is>
          <t>HLA-RL-008</t>
        </is>
      </c>
      <c r="B4" s="14" t="inlineStr">
        <is>
          <t>Roles, Permissions &amp; Tab Visibility</t>
        </is>
      </c>
      <c r="C4" s="14" t="inlineStr">
        <is>
          <t>Operator cannot decide requests</t>
        </is>
      </c>
      <c r="D4" s="14" t="inlineStr">
        <is>
          <t>Operator user logs into web (if web access exists) or has no decide permission.</t>
        </is>
      </c>
      <c r="E4" s="14" t="inlineStr">
        <is>
          <t>1. Log in as operator on web.
2. Open WO with his pending request.</t>
        </is>
      </c>
      <c r="F4" s="14" t="inlineStr">
        <is>
          <t>-</t>
        </is>
      </c>
      <c r="G4" s="14" t="inlineStr">
        <is>
          <t>Approve, Adjust, Reject are not available to the operator.</t>
        </is>
      </c>
      <c r="H4" s="13" t="inlineStr">
        <is>
          <t>P1</t>
        </is>
      </c>
      <c r="I4" s="13" t="inlineStr">
        <is>
          <t>Negative</t>
        </is>
      </c>
      <c r="J4" s="13" t="inlineStr">
        <is>
          <t>Web</t>
        </is>
      </c>
      <c r="K4" s="14" t="inlineStr">
        <is>
          <t>App User</t>
        </is>
      </c>
      <c r="L4" s="15" t="n"/>
      <c r="M4" s="16" t="inlineStr">
        <is>
          <t>Pass</t>
        </is>
      </c>
      <c r="N4" s="15" t="n"/>
      <c r="O4" s="17" t="n"/>
      <c r="P4" s="15" t="n"/>
      <c r="Q4" s="14" t="inlineStr">
        <is>
          <t>Automated: HLA-RL-008 (hour-log-decisions.spec.ts)</t>
        </is>
      </c>
    </row>
    <row r="5" ht="39.6" customHeight="1">
      <c r="A5" s="13" t="inlineStr">
        <is>
          <t>HLA-RL-009</t>
        </is>
      </c>
      <c r="B5" s="14" t="inlineStr">
        <is>
          <t>Roles, Permissions &amp; Tab Visibility</t>
        </is>
      </c>
      <c r="C5" s="14" t="inlineStr">
        <is>
          <t>Admin can decide requests on web</t>
        </is>
      </c>
      <c r="D5" s="14" t="inlineStr">
        <is>
          <t>User with Admin role on web; request raised by another user.</t>
        </is>
      </c>
      <c r="E5" s="14" t="inlineStr">
        <is>
          <t>1. Open WO-000005.
2. Open drawer.
3. Approve REQ-0007.</t>
        </is>
      </c>
      <c r="F5" s="14" t="inlineStr">
        <is>
          <t>REQ-0007</t>
        </is>
      </c>
      <c r="G5" s="14" t="inlineStr">
        <is>
          <t>Admin can Approve/Adjust/Reject. Decision is saved with Decided By = Admin user.</t>
        </is>
      </c>
      <c r="H5" s="13" t="inlineStr">
        <is>
          <t>P2</t>
        </is>
      </c>
      <c r="I5" s="13" t="inlineStr">
        <is>
          <t>Positive</t>
        </is>
      </c>
      <c r="J5" s="13" t="inlineStr">
        <is>
          <t>Web</t>
        </is>
      </c>
      <c r="K5" s="14" t="inlineStr">
        <is>
          <t>App User</t>
        </is>
      </c>
      <c r="L5" s="15" t="n"/>
      <c r="M5" s="16" t="inlineStr">
        <is>
          <t>Pass</t>
        </is>
      </c>
      <c r="N5" s="15" t="n"/>
      <c r="O5" s="17" t="n"/>
      <c r="P5" s="15" t="n"/>
      <c r="Q5" s="14" t="inlineStr">
        <is>
          <t>Partial: HLA-B04 (hour-log-decisions.spec.ts)</t>
        </is>
      </c>
    </row>
    <row r="6" ht="39.6" customHeight="1">
      <c r="A6" s="13" t="inlineStr">
        <is>
          <t>HLA-RL-010</t>
        </is>
      </c>
      <c r="B6" s="14" t="inlineStr">
        <is>
          <t>Roles, Permissions &amp; Tab Visibility</t>
        </is>
      </c>
      <c r="C6" s="14" t="inlineStr">
        <is>
          <t>Self-approval restriction – user cannot Approve own request</t>
        </is>
      </c>
      <c r="D6" s="14" t="inlineStr">
        <is>
          <t>User 'X' has both raise and decide permissions and raised REQ-00xx from mobile.</t>
        </is>
      </c>
      <c r="E6" s="14" t="inlineStr">
        <is>
          <t>1. Log in to web as user X.
2. Open the WO and drawer of his own resource.
3. Try to Approve his own request.</t>
        </is>
      </c>
      <c r="F6" s="14" t="inlineStr">
        <is>
          <t>Own request</t>
        </is>
      </c>
      <c r="G6" s="14" t="inlineStr">
        <is>
          <t>Approve is blocked (action hidden/disabled or error message). Request remains 'Needs review'. No audit entry is created.</t>
        </is>
      </c>
      <c r="H6" s="13" t="inlineStr">
        <is>
          <t>P1</t>
        </is>
      </c>
      <c r="I6" s="13" t="inlineStr">
        <is>
          <t>Negative</t>
        </is>
      </c>
      <c r="J6" s="13" t="inlineStr">
        <is>
          <t>Web</t>
        </is>
      </c>
      <c r="K6" s="14" t="inlineStr">
        <is>
          <t>Validation Rules – Self Approval Restriction</t>
        </is>
      </c>
      <c r="L6" s="15" t="n"/>
      <c r="M6" s="16" t="inlineStr">
        <is>
          <t>Pass</t>
        </is>
      </c>
      <c r="N6" s="15" t="n"/>
      <c r="O6" s="17" t="n"/>
      <c r="P6" s="15" t="n"/>
      <c r="Q6" s="14" t="inlineStr">
        <is>
          <t>Partial: HLA-B15 (hour-log-decisions.spec.ts)</t>
        </is>
      </c>
    </row>
    <row r="7" ht="92.40000000000001" customHeight="1">
      <c r="A7" s="13" t="inlineStr">
        <is>
          <t>HLA-RL-011</t>
        </is>
      </c>
      <c r="B7" s="14" t="inlineStr">
        <is>
          <t>Roles, Permissions &amp; Tab Visibility</t>
        </is>
      </c>
      <c r="C7" s="14" t="inlineStr">
        <is>
          <t>Self-approval restriction – user cannot Adjust own request</t>
        </is>
      </c>
      <c r="D7" s="14" t="inlineStr">
        <is>
          <t>User 'X' has both raise and decide permissions and raised REQ-00xx from mobile.</t>
        </is>
      </c>
      <c r="E7" s="14" t="inlineStr">
        <is>
          <t>1. Log in to web as user X.
2. Open the WO and drawer of his own resource.
3. Try to Adjust his own request.</t>
        </is>
      </c>
      <c r="F7" s="14" t="inlineStr">
        <is>
          <t>Own request</t>
        </is>
      </c>
      <c r="G7" s="14" t="inlineStr">
        <is>
          <t>Adjust is blocked (action hidden/disabled or error message). Request remains 'Needs review'. No audit entry is created.</t>
        </is>
      </c>
      <c r="H7" s="13" t="inlineStr">
        <is>
          <t>P1</t>
        </is>
      </c>
      <c r="I7" s="13" t="inlineStr">
        <is>
          <t>Negative</t>
        </is>
      </c>
      <c r="J7" s="13" t="inlineStr">
        <is>
          <t>Web</t>
        </is>
      </c>
      <c r="K7" s="14" t="inlineStr">
        <is>
          <t>Validation Rules – Self Approval Restriction</t>
        </is>
      </c>
      <c r="L7" s="15" t="n"/>
      <c r="M7" s="16" t="inlineStr">
        <is>
          <t>Pass</t>
        </is>
      </c>
      <c r="N7" s="15" t="n"/>
      <c r="O7" s="17" t="n"/>
      <c r="P7" s="15" t="n"/>
      <c r="Q7" s="14" t="inlineStr">
        <is>
          <t>Partial: HLA-B15 (hour-log-decisions.spec.ts)</t>
        </is>
      </c>
    </row>
    <row r="8" ht="66" customHeight="1">
      <c r="A8" s="13" t="inlineStr">
        <is>
          <t>HLA-RL-012</t>
        </is>
      </c>
      <c r="B8" s="14" t="inlineStr">
        <is>
          <t>Roles, Permissions &amp; Tab Visibility</t>
        </is>
      </c>
      <c r="C8" s="14" t="inlineStr">
        <is>
          <t>Self-approval restriction – user cannot Reject own request</t>
        </is>
      </c>
      <c r="D8" s="14" t="inlineStr">
        <is>
          <t>User 'X' has both raise and decide permissions and raised REQ-00xx from mobile.</t>
        </is>
      </c>
      <c r="E8" s="14" t="inlineStr">
        <is>
          <t>1. Log in to web as user X.
2. Open the WO and drawer of his own resource.
3. Try to Reject his own request.</t>
        </is>
      </c>
      <c r="F8" s="14" t="inlineStr">
        <is>
          <t>Own request</t>
        </is>
      </c>
      <c r="G8" s="14" t="inlineStr">
        <is>
          <t>Reject is blocked (action hidden/disabled or error message). Request remains 'Needs review'. No audit entry is created.</t>
        </is>
      </c>
      <c r="H8" s="13" t="inlineStr">
        <is>
          <t>P1</t>
        </is>
      </c>
      <c r="I8" s="13" t="inlineStr">
        <is>
          <t>Negative</t>
        </is>
      </c>
      <c r="J8" s="13" t="inlineStr">
        <is>
          <t>Web</t>
        </is>
      </c>
      <c r="K8" s="14" t="inlineStr">
        <is>
          <t>Validation Rules – Self Approval Restriction</t>
        </is>
      </c>
      <c r="L8" s="15" t="n"/>
      <c r="M8" s="16" t="inlineStr">
        <is>
          <t>Pass</t>
        </is>
      </c>
      <c r="N8" s="15" t="n"/>
      <c r="O8" s="17" t="n"/>
      <c r="P8" s="15" t="n"/>
      <c r="Q8" s="14" t="inlineStr">
        <is>
          <t>Partial: HLA-B15 (hour-log-decisions.spec.ts)</t>
        </is>
      </c>
    </row>
    <row r="9" ht="39.6" customHeight="1">
      <c r="A9" s="13" t="inlineStr">
        <is>
          <t>HLA-RL-013</t>
        </is>
      </c>
      <c r="B9" s="14" t="inlineStr">
        <is>
          <t>Roles, Permissions &amp; Tab Visibility</t>
        </is>
      </c>
      <c r="C9" s="14" t="inlineStr">
        <is>
          <t>Another manager can decide the request blocked for self-approval</t>
        </is>
      </c>
      <c r="D9" s="14" t="inlineStr">
        <is>
          <t>Request raised by user X (manager+operator).</t>
        </is>
      </c>
      <c r="E9" s="14" t="inlineStr">
        <is>
          <t>1. Log in as manager David.
2. Approve X's request.</t>
        </is>
      </c>
      <c r="F9" s="14" t="inlineStr">
        <is>
          <t>-</t>
        </is>
      </c>
      <c r="G9" s="14" t="inlineStr">
        <is>
          <t>Decision succeeds; Decided By = David.</t>
        </is>
      </c>
      <c r="H9" s="13" t="inlineStr">
        <is>
          <t>P2</t>
        </is>
      </c>
      <c r="I9" s="13" t="inlineStr">
        <is>
          <t>Positive</t>
        </is>
      </c>
      <c r="J9" s="13" t="inlineStr">
        <is>
          <t>Web</t>
        </is>
      </c>
      <c r="K9" s="14" t="inlineStr">
        <is>
          <t>Self Approval Restriction</t>
        </is>
      </c>
      <c r="L9" s="15" t="inlineStr">
        <is>
          <t>Invalid</t>
        </is>
      </c>
      <c r="M9" s="16" t="inlineStr">
        <is>
          <t>N/A</t>
        </is>
      </c>
      <c r="N9" s="15" t="n"/>
      <c r="O9" s="17" t="n"/>
      <c r="P9" s="15" t="n"/>
      <c r="Q9" s="14" t="inlineStr">
        <is>
          <t>Not automated: needs a user who is both manager and operator (none on QA).</t>
        </is>
      </c>
    </row>
    <row r="10" ht="66" customHeight="1">
      <c r="A10" s="13" t="inlineStr">
        <is>
          <t>HLA-VL-022</t>
        </is>
      </c>
      <c r="B10" s="14" t="inlineStr">
        <is>
          <t>Validations – Mobile Form</t>
        </is>
      </c>
      <c r="C10" s="14" t="inlineStr">
        <is>
          <t>Overnight split via web Adjust</t>
        </is>
      </c>
      <c r="D10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10" s="14" t="inlineStr">
        <is>
          <t>1. Adjust REQ-0008 to 11:00 PM – 01:00 AM next day.
2. Approve.</t>
        </is>
      </c>
      <c r="F10" s="14" t="inlineStr">
        <is>
          <t>-</t>
        </is>
      </c>
      <c r="G10" s="14" t="inlineStr">
        <is>
          <t>Split into two entries at midnight.</t>
        </is>
      </c>
      <c r="H10" s="13" t="inlineStr">
        <is>
          <t>P2</t>
        </is>
      </c>
      <c r="I10" s="13" t="inlineStr">
        <is>
          <t>Positive</t>
        </is>
      </c>
      <c r="J10" s="13" t="inlineStr">
        <is>
          <t>Web</t>
        </is>
      </c>
      <c r="K10" s="14" t="inlineStr">
        <is>
          <t>Validation Rules – Overnight Job</t>
        </is>
      </c>
      <c r="L10" s="15" t="n"/>
      <c r="M10" s="16" t="inlineStr">
        <is>
          <t>Not Executed</t>
        </is>
      </c>
      <c r="N10" s="15" t="n"/>
      <c r="O10" s="17" t="n"/>
      <c r="P10" s="15" t="n"/>
      <c r="Q10" s="14" t="inlineStr">
        <is>
          <t>Planned: overnight Adjust needs the Job End date moved to the next day.</t>
        </is>
      </c>
    </row>
    <row r="11" ht="39.6" customHeight="1">
      <c r="A11" s="13" t="inlineStr">
        <is>
          <t>HLA-WS-006</t>
        </is>
      </c>
      <c r="B11" s="14" t="inlineStr">
        <is>
          <t>Work Order Status Rules</t>
        </is>
      </c>
      <c r="C11" s="14" t="inlineStr">
        <is>
          <t>Pending requests remain decidable after WO moves to Review</t>
        </is>
      </c>
      <c r="D1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1" s="14" t="inlineStr">
        <is>
          <t>1. Move WO to Review.
2. Open drawer; approve REQ-0007.</t>
        </is>
      </c>
      <c r="F11" s="14" t="inlineStr">
        <is>
          <t>-</t>
        </is>
      </c>
      <c r="G11" s="14" t="inlineStr">
        <is>
          <t>Manager can still decide pending requests.</t>
        </is>
      </c>
      <c r="H11" s="13" t="inlineStr">
        <is>
          <t>P2</t>
        </is>
      </c>
      <c r="I11" s="13" t="inlineStr">
        <is>
          <t>Positive</t>
        </is>
      </c>
      <c r="J11" s="13" t="inlineStr">
        <is>
          <t>Web</t>
        </is>
      </c>
      <c r="K11" s="14" t="inlineStr">
        <is>
          <t>Mobile Adjustment Request Availability</t>
        </is>
      </c>
      <c r="L11" s="15" t="n"/>
      <c r="M11" s="16" t="inlineStr">
        <is>
          <t>Not Executed</t>
        </is>
      </c>
      <c r="N11" s="15" t="n"/>
      <c r="O11" s="17" t="n"/>
      <c r="P11" s="15" t="n"/>
      <c r="Q11" s="14" t="inlineStr">
        <is>
          <t>Automated: HLA-WS-006 (hour-log-decisions.spec.ts)</t>
        </is>
      </c>
    </row>
    <row r="12" ht="39.6" customHeight="1">
      <c r="A12" s="13" t="inlineStr">
        <is>
          <t>HLA-WC-001</t>
        </is>
      </c>
      <c r="B12" s="14" t="inlineStr">
        <is>
          <t>Work Order Completion Validation</t>
        </is>
      </c>
      <c r="C12" s="14" t="inlineStr">
        <is>
          <t>Completion blocked with pending requests</t>
        </is>
      </c>
      <c r="D1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2" s="14" t="inlineStr">
        <is>
          <t>1. Try to complete WO-000005.</t>
        </is>
      </c>
      <c r="F12" s="14" t="inlineStr">
        <is>
          <t>2 pending</t>
        </is>
      </c>
      <c r="G12" s="14" t="inlineStr">
        <is>
          <t>Completion blocked with message stating pending hour log adjustment requests.</t>
        </is>
      </c>
      <c r="H12" s="13" t="inlineStr">
        <is>
          <t>P1</t>
        </is>
      </c>
      <c r="I12" s="13" t="inlineStr">
        <is>
          <t>Negative</t>
        </is>
      </c>
      <c r="J12" s="13" t="inlineStr">
        <is>
          <t>Web</t>
        </is>
      </c>
      <c r="K12" s="14" t="inlineStr">
        <is>
          <t>Work Order Completion Validation</t>
        </is>
      </c>
      <c r="L12" s="15" t="n"/>
      <c r="M12" s="16" t="inlineStr">
        <is>
          <t>Not Executed</t>
        </is>
      </c>
      <c r="N12" s="15" t="n"/>
      <c r="O12" s="17" t="n"/>
      <c r="P12" s="15" t="n"/>
      <c r="Q12" s="14" t="inlineStr">
        <is>
          <t>Automated: HLA-B16 (hour-log-decisions.spec.ts)</t>
        </is>
      </c>
    </row>
    <row r="13" ht="39.6" customHeight="1">
      <c r="A13" s="13" t="inlineStr">
        <is>
          <t>HLA-WC-002</t>
        </is>
      </c>
      <c r="B13" s="14" t="inlineStr">
        <is>
          <t>Work Order Completion Validation</t>
        </is>
      </c>
      <c r="C13" s="14" t="inlineStr">
        <is>
          <t>Completion blocked when any resource has pending</t>
        </is>
      </c>
      <c r="D13" s="14" t="inlineStr">
        <is>
          <t>Pending requests on 2 resources; one resource fully decided.</t>
        </is>
      </c>
      <c r="E13" s="14" t="inlineStr">
        <is>
          <t>1. Decide one resource's requests.
2. Try to complete.</t>
        </is>
      </c>
      <c r="F13" s="14" t="inlineStr">
        <is>
          <t>-</t>
        </is>
      </c>
      <c r="G13" s="14" t="inlineStr">
        <is>
          <t>Still blocked until all resources' requests decided.</t>
        </is>
      </c>
      <c r="H13" s="13" t="inlineStr">
        <is>
          <t>P1</t>
        </is>
      </c>
      <c r="I13" s="13" t="inlineStr">
        <is>
          <t>Negative</t>
        </is>
      </c>
      <c r="J13" s="13" t="inlineStr">
        <is>
          <t>Web</t>
        </is>
      </c>
      <c r="K13" s="14" t="inlineStr">
        <is>
          <t>Work Order Completion Validation</t>
        </is>
      </c>
      <c r="L13" s="15" t="n"/>
      <c r="M13" s="16" t="inlineStr">
        <is>
          <t>Not Executed</t>
        </is>
      </c>
      <c r="N13" s="15" t="n"/>
      <c r="O13" s="17" t="n"/>
      <c r="P13" s="15" t="n"/>
      <c r="Q13" s="14" t="inlineStr">
        <is>
          <t>Not automated: needs a second operator who can raise requests.</t>
        </is>
      </c>
    </row>
    <row r="14" ht="39.6" customHeight="1">
      <c r="A14" s="13" t="inlineStr">
        <is>
          <t>HLA-WC-003</t>
        </is>
      </c>
      <c r="B14" s="14" t="inlineStr">
        <is>
          <t>Work Order Completion Validation</t>
        </is>
      </c>
      <c r="C14" s="14" t="inlineStr">
        <is>
          <t>Completion allowed after all decided</t>
        </is>
      </c>
      <c r="D1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4" s="14" t="inlineStr">
        <is>
          <t>1. Approve REQ-0007, reject REQ-0008.
2. Complete WO.</t>
        </is>
      </c>
      <c r="F14" s="14" t="inlineStr">
        <is>
          <t>-</t>
        </is>
      </c>
      <c r="G14" s="14" t="inlineStr">
        <is>
          <t>WO completes successfully.</t>
        </is>
      </c>
      <c r="H14" s="13" t="inlineStr">
        <is>
          <t>P1</t>
        </is>
      </c>
      <c r="I14" s="13" t="inlineStr">
        <is>
          <t>Positive</t>
        </is>
      </c>
      <c r="J14" s="13" t="inlineStr">
        <is>
          <t>Web</t>
        </is>
      </c>
      <c r="K14" s="14" t="inlineStr">
        <is>
          <t>Work Order Completion Validation</t>
        </is>
      </c>
      <c r="L14" s="15" t="n"/>
      <c r="M14" s="16" t="inlineStr">
        <is>
          <t>Not Executed</t>
        </is>
      </c>
      <c r="N14" s="15" t="n"/>
      <c r="O14" s="17" t="n"/>
      <c r="P14" s="15" t="n"/>
      <c r="Q14" s="14" t="inlineStr">
        <is>
          <t>On hold: completing to Done posts to D365; automating it was blocked by a permission check (2026-09-29).</t>
        </is>
      </c>
    </row>
    <row r="15" ht="52.8" customHeight="1">
      <c r="A15" s="13" t="inlineStr">
        <is>
          <t>HLA-WC-004</t>
        </is>
      </c>
      <c r="B15" s="14" t="inlineStr">
        <is>
          <t>Work Order Completion Validation</t>
        </is>
      </c>
      <c r="C15" s="14" t="inlineStr">
        <is>
          <t>Rejecting the last pending request unblocks completion</t>
        </is>
      </c>
      <c r="D15" s="14" t="inlineStr">
        <is>
          <t>Single pending request.</t>
        </is>
      </c>
      <c r="E15" s="14" t="inlineStr">
        <is>
          <t>1. Reject it with reason.
2. Complete WO.</t>
        </is>
      </c>
      <c r="F15" s="14" t="inlineStr">
        <is>
          <t>-</t>
        </is>
      </c>
      <c r="G15" s="14" t="inlineStr">
        <is>
          <t>Completion allowed.</t>
        </is>
      </c>
      <c r="H15" s="13" t="inlineStr">
        <is>
          <t>P2</t>
        </is>
      </c>
      <c r="I15" s="13" t="inlineStr">
        <is>
          <t>Positive</t>
        </is>
      </c>
      <c r="J15" s="13" t="inlineStr">
        <is>
          <t>Web</t>
        </is>
      </c>
      <c r="K15" s="14" t="inlineStr">
        <is>
          <t>Work Order Completion Validation</t>
        </is>
      </c>
      <c r="L15" s="15" t="n"/>
      <c r="M15" s="16" t="inlineStr">
        <is>
          <t>Not Executed</t>
        </is>
      </c>
      <c r="N15" s="15" t="n"/>
      <c r="O15" s="17" t="n"/>
      <c r="P15" s="15" t="n"/>
      <c r="Q15" s="14" t="inlineStr">
        <is>
          <t>On hold: completing to Done posts to D365; automating it was blocked by a permission check (2026-09-29).</t>
        </is>
      </c>
    </row>
    <row r="16" ht="105.6" customHeight="1">
      <c r="A16" s="13" t="inlineStr">
        <is>
          <t>HLA-WR-001</t>
        </is>
      </c>
      <c r="B16" s="14" t="inlineStr">
        <is>
          <t>Web – Resources Table</t>
        </is>
      </c>
      <c r="C16" s="14" t="inlineStr">
        <is>
          <t>Hour Log Changes column displayed</t>
        </is>
      </c>
      <c r="D16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6" s="14" t="inlineStr">
        <is>
          <t>1. Open WO-000005 &gt; Resources.</t>
        </is>
      </c>
      <c r="F16" s="14" t="inlineStr">
        <is>
          <t>-</t>
        </is>
      </c>
      <c r="G16" s="14" t="inlineStr">
        <is>
          <t>Columns incl. Resource Name, Resource Type, Company, Tracking Log, Progress, Spent Hours, Hour Log Changes.</t>
        </is>
      </c>
      <c r="H16" s="13" t="inlineStr">
        <is>
          <t>P2</t>
        </is>
      </c>
      <c r="I16" s="13" t="inlineStr">
        <is>
          <t>UI</t>
        </is>
      </c>
      <c r="J16" s="13" t="inlineStr">
        <is>
          <t>Web</t>
        </is>
      </c>
      <c r="K16" s="14" t="inlineStr">
        <is>
          <t>Mocks – Figure 6</t>
        </is>
      </c>
      <c r="L16" s="15" t="n"/>
      <c r="M16" s="16" t="inlineStr">
        <is>
          <t>Not Executed</t>
        </is>
      </c>
      <c r="N16" s="15" t="n"/>
      <c r="O16" s="17" t="n"/>
      <c r="P16" s="15" t="n"/>
      <c r="Q16" s="14" t="inlineStr">
        <is>
          <t>Automated: HLA-B01 (hour-log-decisions.spec.ts)</t>
        </is>
      </c>
    </row>
    <row r="17" ht="26.4" customHeight="1">
      <c r="A17" s="13" t="inlineStr">
        <is>
          <t>HLA-WR-002</t>
        </is>
      </c>
      <c r="B17" s="14" t="inlineStr">
        <is>
          <t>Web – Resources Table</t>
        </is>
      </c>
      <c r="C17" s="14" t="inlineStr">
        <is>
          <t>'N to review' chip count</t>
        </is>
      </c>
      <c r="D1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7" s="14" t="inlineStr">
        <is>
          <t>1. Check Carston Gunter row.</t>
        </is>
      </c>
      <c r="F17" s="14" t="inlineStr">
        <is>
          <t>2 pending</t>
        </is>
      </c>
      <c r="G17" s="14" t="inlineStr">
        <is>
          <t>Chip shows '2 to review'.</t>
        </is>
      </c>
      <c r="H17" s="13" t="inlineStr">
        <is>
          <t>P1</t>
        </is>
      </c>
      <c r="I17" s="13" t="inlineStr">
        <is>
          <t>Positive</t>
        </is>
      </c>
      <c r="J17" s="13" t="inlineStr">
        <is>
          <t>Web</t>
        </is>
      </c>
      <c r="K17" s="14" t="inlineStr">
        <is>
          <t>Mocks – Figure 6</t>
        </is>
      </c>
      <c r="L17" s="15" t="n"/>
      <c r="M17" s="16" t="inlineStr">
        <is>
          <t>Not Executed</t>
        </is>
      </c>
      <c r="N17" s="15" t="n"/>
      <c r="O17" s="17" t="n"/>
      <c r="P17" s="15" t="n"/>
      <c r="Q17" s="14" t="inlineStr">
        <is>
          <t>Automated: HLA-B01 (hour-log-decisions.spec.ts)</t>
        </is>
      </c>
    </row>
    <row r="18" ht="39.6" customHeight="1">
      <c r="A18" s="13" t="inlineStr">
        <is>
          <t>HLA-WR-003</t>
        </is>
      </c>
      <c r="B18" s="14" t="inlineStr">
        <is>
          <t>Web – Resources Table</t>
        </is>
      </c>
      <c r="C18" s="14" t="inlineStr">
        <is>
          <t>No pending requests shows dash</t>
        </is>
      </c>
      <c r="D18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8" s="14" t="inlineStr">
        <is>
          <t>1. Check resource without requests.</t>
        </is>
      </c>
      <c r="F18" s="14" t="inlineStr">
        <is>
          <t>F3TestApp2</t>
        </is>
      </c>
      <c r="G18" s="14" t="inlineStr">
        <is>
          <t>Shows '—', no chip.</t>
        </is>
      </c>
      <c r="H18" s="13" t="inlineStr">
        <is>
          <t>P2</t>
        </is>
      </c>
      <c r="I18" s="13" t="inlineStr">
        <is>
          <t>Positive</t>
        </is>
      </c>
      <c r="J18" s="13" t="inlineStr">
        <is>
          <t>Web</t>
        </is>
      </c>
      <c r="K18" s="14" t="inlineStr">
        <is>
          <t>Mocks – Figure 6</t>
        </is>
      </c>
      <c r="L18" s="15" t="n"/>
      <c r="M18" s="16" t="inlineStr">
        <is>
          <t>Not Executed</t>
        </is>
      </c>
      <c r="N18" s="15" t="n"/>
      <c r="O18" s="17" t="n"/>
      <c r="P18" s="15" t="n"/>
      <c r="Q18" s="14" t="inlineStr">
        <is>
          <t>Automated: HLA-B01 (hour-log-decisions.spec.ts)</t>
        </is>
      </c>
    </row>
    <row r="19" ht="39.6" customHeight="1">
      <c r="A19" s="13" t="inlineStr">
        <is>
          <t>HLA-WR-004</t>
        </is>
      </c>
      <c r="B19" s="14" t="inlineStr">
        <is>
          <t>Web – Resources Table</t>
        </is>
      </c>
      <c r="C19" s="14" t="inlineStr">
        <is>
          <t>Spent Hours shows only approved hours</t>
        </is>
      </c>
      <c r="D19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19" s="14" t="inlineStr">
        <is>
          <t>1. Compare Spent Hours with approved entries.</t>
        </is>
      </c>
      <c r="F19" s="14" t="inlineStr">
        <is>
          <t>5h 36m</t>
        </is>
      </c>
      <c r="G19" s="14" t="inlineStr">
        <is>
          <t>Pending requested hours not included.</t>
        </is>
      </c>
      <c r="H19" s="13" t="inlineStr">
        <is>
          <t>P1</t>
        </is>
      </c>
      <c r="I19" s="13" t="inlineStr">
        <is>
          <t>Positive</t>
        </is>
      </c>
      <c r="J19" s="13" t="inlineStr">
        <is>
          <t>Web</t>
        </is>
      </c>
      <c r="K19" s="14" t="inlineStr">
        <is>
          <t>Mocks – Figure 6</t>
        </is>
      </c>
      <c r="L19" s="15" t="n"/>
      <c r="M19" s="16" t="inlineStr">
        <is>
          <t>Not Executed</t>
        </is>
      </c>
      <c r="N19" s="15" t="n"/>
      <c r="O19" s="17" t="n"/>
      <c r="P19" s="15" t="n"/>
      <c r="Q19" s="14" t="inlineStr">
        <is>
          <t>Automated: HLA-B01 (hour-log-decisions.spec.ts)</t>
        </is>
      </c>
    </row>
    <row r="20" ht="39.6" customHeight="1">
      <c r="A20" s="13" t="inlineStr">
        <is>
          <t>HLA-WR-005</t>
        </is>
      </c>
      <c r="B20" s="14" t="inlineStr">
        <is>
          <t>Web – Resources Table</t>
        </is>
      </c>
      <c r="C20" s="14" t="inlineStr">
        <is>
          <t>Chip opens drawer for that resource</t>
        </is>
      </c>
      <c r="D20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20" s="14" t="inlineStr">
        <is>
          <t>1. Click chip on Carston Gunter.</t>
        </is>
      </c>
      <c r="F20" s="14" t="inlineStr">
        <is>
          <t>-</t>
        </is>
      </c>
      <c r="G20" s="14" t="inlineStr">
        <is>
          <t>Drawer opens with only Carston Gunter's requests on this WO.</t>
        </is>
      </c>
      <c r="H20" s="13" t="inlineStr">
        <is>
          <t>P1</t>
        </is>
      </c>
      <c r="I20" s="13" t="inlineStr">
        <is>
          <t>Positive</t>
        </is>
      </c>
      <c r="J20" s="13" t="inlineStr">
        <is>
          <t>Web</t>
        </is>
      </c>
      <c r="K20" s="14" t="inlineStr">
        <is>
          <t>Mocks – Figure 6</t>
        </is>
      </c>
      <c r="L20" s="15" t="n"/>
      <c r="M20" s="16" t="inlineStr">
        <is>
          <t>Not Executed</t>
        </is>
      </c>
      <c r="N20" s="15" t="n"/>
      <c r="O20" s="17" t="n"/>
      <c r="P20" s="15" t="n"/>
      <c r="Q20" s="14" t="inlineStr">
        <is>
          <t>Automated: HLA-B02-partial (hour-log-decisions.spec.ts)</t>
        </is>
      </c>
    </row>
    <row r="21" ht="39.6" customHeight="1">
      <c r="A21" s="13" t="inlineStr">
        <is>
          <t>HLA-WR-006</t>
        </is>
      </c>
      <c r="B21" s="14" t="inlineStr">
        <is>
          <t>Web – Resources Table</t>
        </is>
      </c>
      <c r="C21" s="14" t="inlineStr">
        <is>
          <t>Chip count decrements after a decision</t>
        </is>
      </c>
      <c r="D2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1" s="14" t="inlineStr">
        <is>
          <t>1. Approve REQ-0007.
2. Check chip.</t>
        </is>
      </c>
      <c r="F21" s="14" t="inlineStr">
        <is>
          <t>-</t>
        </is>
      </c>
      <c r="G21" s="14" t="inlineStr">
        <is>
          <t>Chip shows '1 to review'.</t>
        </is>
      </c>
      <c r="H21" s="13" t="inlineStr">
        <is>
          <t>P1</t>
        </is>
      </c>
      <c r="I21" s="13" t="inlineStr">
        <is>
          <t>Positive</t>
        </is>
      </c>
      <c r="J21" s="13" t="inlineStr">
        <is>
          <t>Web</t>
        </is>
      </c>
      <c r="K21" s="14" t="inlineStr">
        <is>
          <t>Mocks – Figure 6</t>
        </is>
      </c>
      <c r="L21" s="15" t="n"/>
      <c r="M21" s="16" t="inlineStr">
        <is>
          <t>Not Executed</t>
        </is>
      </c>
      <c r="N21" s="15" t="n"/>
      <c r="O21" s="17" t="n"/>
      <c r="P21" s="15" t="n"/>
      <c r="Q21" s="14" t="inlineStr">
        <is>
          <t>Automated: HLA-B04 (hour-log-decisions.spec.ts)</t>
        </is>
      </c>
    </row>
    <row r="22" ht="26.4" customHeight="1">
      <c r="A22" s="13" t="inlineStr">
        <is>
          <t>HLA-WR-007</t>
        </is>
      </c>
      <c r="B22" s="14" t="inlineStr">
        <is>
          <t>Web – Resources Table</t>
        </is>
      </c>
      <c r="C22" s="14" t="inlineStr">
        <is>
          <t>Chip disappears when all decided</t>
        </is>
      </c>
      <c r="D2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2" s="14" t="inlineStr">
        <is>
          <t>1. Decide both requests.</t>
        </is>
      </c>
      <c r="F22" s="14" t="inlineStr">
        <is>
          <t>-</t>
        </is>
      </c>
      <c r="G22" s="14" t="inlineStr">
        <is>
          <t>Column shows '—'.</t>
        </is>
      </c>
      <c r="H22" s="13" t="inlineStr">
        <is>
          <t>P2</t>
        </is>
      </c>
      <c r="I22" s="13" t="inlineStr">
        <is>
          <t>Positive</t>
        </is>
      </c>
      <c r="J22" s="13" t="inlineStr">
        <is>
          <t>Web</t>
        </is>
      </c>
      <c r="K22" s="14" t="inlineStr">
        <is>
          <t>Mocks – Figure 6</t>
        </is>
      </c>
      <c r="L22" s="15" t="n"/>
      <c r="M22" s="16" t="inlineStr">
        <is>
          <t>Not Executed</t>
        </is>
      </c>
      <c r="N22" s="15" t="n"/>
      <c r="O22" s="17" t="n"/>
      <c r="P22" s="15" t="n"/>
      <c r="Q22" s="14" t="inlineStr">
        <is>
          <t>Automated: HLA-WS-006 (hour-log-decisions.spec.ts)</t>
        </is>
      </c>
    </row>
    <row r="23" ht="105.6" customHeight="1">
      <c r="A23" s="13" t="inlineStr">
        <is>
          <t>HLA-WR-008</t>
        </is>
      </c>
      <c r="B23" s="14" t="inlineStr">
        <is>
          <t>Web – Resources Table</t>
        </is>
      </c>
      <c r="C23" s="14" t="inlineStr">
        <is>
          <t>Spent Hours update immediately after decision</t>
        </is>
      </c>
      <c r="D23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3" s="14" t="inlineStr">
        <is>
          <t>1. Approve REQ-0007.
2. Close drawer.</t>
        </is>
      </c>
      <c r="F23" s="14" t="inlineStr">
        <is>
          <t>5h 36m → 6h 45m</t>
        </is>
      </c>
      <c r="G23" s="14" t="inlineStr">
        <is>
          <t>Spent Hours updated without page reload.</t>
        </is>
      </c>
      <c r="H23" s="13" t="inlineStr">
        <is>
          <t>P1</t>
        </is>
      </c>
      <c r="I23" s="13" t="inlineStr">
        <is>
          <t>Positive</t>
        </is>
      </c>
      <c r="J23" s="13" t="inlineStr">
        <is>
          <t>Web</t>
        </is>
      </c>
      <c r="K23" s="14" t="inlineStr">
        <is>
          <t>Summary / Business Cases</t>
        </is>
      </c>
      <c r="L23" s="15" t="n"/>
      <c r="M23" s="16" t="inlineStr">
        <is>
          <t>Not Executed</t>
        </is>
      </c>
      <c r="N23" s="15" t="n"/>
      <c r="O23" s="17" t="n"/>
      <c r="P23" s="15" t="n"/>
      <c r="Q23" s="14" t="inlineStr">
        <is>
          <t>Automated: HLA-B04 (hour-log-decisions.spec.ts)</t>
        </is>
      </c>
    </row>
    <row r="24" ht="105.6" customHeight="1">
      <c r="A24" s="13" t="inlineStr">
        <is>
          <t>HLA-WR-010</t>
        </is>
      </c>
      <c r="B24" s="14" t="inlineStr">
        <is>
          <t>Web – Resources Table</t>
        </is>
      </c>
      <c r="C24" s="14" t="inlineStr">
        <is>
          <t>Counts correct for multiple resources</t>
        </is>
      </c>
      <c r="D2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24" s="14" t="inlineStr">
        <is>
          <t>1. Check all rows.</t>
        </is>
      </c>
      <c r="F24" s="14" t="inlineStr">
        <is>
          <t>Carston 2, Agrierp 02 1</t>
        </is>
      </c>
      <c r="G24" s="14" t="inlineStr">
        <is>
          <t>Each row shows its own count.</t>
        </is>
      </c>
      <c r="H24" s="13" t="inlineStr">
        <is>
          <t>P2</t>
        </is>
      </c>
      <c r="I24" s="13" t="inlineStr">
        <is>
          <t>Positive</t>
        </is>
      </c>
      <c r="J24" s="13" t="inlineStr">
        <is>
          <t>Web</t>
        </is>
      </c>
      <c r="K24" s="14" t="inlineStr">
        <is>
          <t>Mocks – Figure 6</t>
        </is>
      </c>
      <c r="L24" s="15" t="n"/>
      <c r="M24" s="16" t="inlineStr">
        <is>
          <t>Not Executed</t>
        </is>
      </c>
      <c r="N24" s="15" t="n"/>
      <c r="O24" s="17" t="n"/>
      <c r="P24" s="15" t="n"/>
      <c r="Q24" s="14" t="inlineStr">
        <is>
          <t>Not automated: needs a second operator who can raise requests.</t>
        </is>
      </c>
    </row>
    <row r="25" ht="105.6" customHeight="1">
      <c r="A25" s="13" t="inlineStr">
        <is>
          <t>HLA-WR-011</t>
        </is>
      </c>
      <c r="B25" s="14" t="inlineStr">
        <is>
          <t>Web – Resources Table</t>
        </is>
      </c>
      <c r="C25" s="14" t="inlineStr">
        <is>
          <t>Hours Logged link reflects decided hours</t>
        </is>
      </c>
      <c r="D25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</t>
        </is>
      </c>
      <c r="E25" s="14" t="inlineStr">
        <is>
          <t>1. Approve REQ-0007.
2. Click 'Hours Logged'.</t>
        </is>
      </c>
      <c r="F25" s="14" t="inlineStr">
        <is>
          <t>-</t>
        </is>
      </c>
      <c r="G25" s="14" t="inlineStr">
        <is>
          <t>Log shows the updated entry.</t>
        </is>
      </c>
      <c r="H25" s="13" t="inlineStr">
        <is>
          <t>P2</t>
        </is>
      </c>
      <c r="I25" s="13" t="inlineStr">
        <is>
          <t>Positive</t>
        </is>
      </c>
      <c r="J25" s="13" t="inlineStr">
        <is>
          <t>Web</t>
        </is>
      </c>
      <c r="K25" s="14" t="inlineStr">
        <is>
          <t>Mocks – Figure 6</t>
        </is>
      </c>
      <c r="L25" s="15" t="n"/>
      <c r="M25" s="16" t="inlineStr">
        <is>
          <t>Not Executed</t>
        </is>
      </c>
      <c r="N25" s="15" t="n"/>
      <c r="O25" s="17" t="n"/>
      <c r="P25" s="15" t="n"/>
      <c r="Q25" s="14" t="inlineStr">
        <is>
          <t>Automated: HLA-B04 (hour-log-decisions.spec.ts)</t>
        </is>
      </c>
    </row>
    <row r="26" ht="105.6" customHeight="1">
      <c r="A26" s="13" t="inlineStr">
        <is>
          <t>HLA-WD-001</t>
        </is>
      </c>
      <c r="B26" s="14" t="inlineStr">
        <is>
          <t>Web – Hour Log Change Requests Drawer</t>
        </is>
      </c>
      <c r="C26" s="14" t="inlineStr">
        <is>
          <t>Drawer header</t>
        </is>
      </c>
      <c r="D26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6" s="14" t="inlineStr">
        <is>
          <t>1. Observe header.</t>
        </is>
      </c>
      <c r="F26" s="14" t="inlineStr">
        <is>
          <t>-</t>
        </is>
      </c>
      <c r="G26" s="14" t="inlineStr">
        <is>
          <t>Title 'Hour Log Change Requests', 'Carston Gunter (000182) · WO-000005 · 2 needs review', close X.</t>
        </is>
      </c>
      <c r="H26" s="13" t="inlineStr">
        <is>
          <t>P2</t>
        </is>
      </c>
      <c r="I26" s="13" t="inlineStr">
        <is>
          <t>UI</t>
        </is>
      </c>
      <c r="J26" s="13" t="inlineStr">
        <is>
          <t>Web</t>
        </is>
      </c>
      <c r="K26" s="14" t="inlineStr">
        <is>
          <t>Mocks – Figure 7</t>
        </is>
      </c>
      <c r="L26" s="15" t="n"/>
      <c r="M26" s="16" t="inlineStr">
        <is>
          <t>Not Executed</t>
        </is>
      </c>
      <c r="N26" s="15" t="n"/>
      <c r="O26" s="17" t="n"/>
      <c r="P26" s="15" t="n"/>
      <c r="Q26" s="14" t="inlineStr">
        <is>
          <t>Automated: HLA-B02-partial (hour-log-decisions.spec.ts)</t>
        </is>
      </c>
    </row>
    <row r="27" ht="105.6" customHeight="1">
      <c r="A27" s="13" t="inlineStr">
        <is>
          <t>HLA-WD-002</t>
        </is>
      </c>
      <c r="B27" s="14" t="inlineStr">
        <is>
          <t>Web – Hour Log Change Requests Drawer</t>
        </is>
      </c>
      <c r="C27" s="14" t="inlineStr">
        <is>
          <t>Request card details</t>
        </is>
      </c>
      <c r="D2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7" s="14" t="inlineStr">
        <is>
          <t>1. Review REQ-0007 card.</t>
        </is>
      </c>
      <c r="F27" s="14" t="inlineStr">
        <is>
          <t>-</t>
        </is>
      </c>
      <c r="G27" s="14" t="inlineStr">
        <is>
          <t>REQ-0007, device badge IOS, 'Field 342 · Job Log-0002 · Jul 29', Machine, Implement, '19 days ago', 'by Carston Gunter'.</t>
        </is>
      </c>
      <c r="H27" s="13" t="inlineStr">
        <is>
          <t>P1</t>
        </is>
      </c>
      <c r="I27" s="13" t="inlineStr">
        <is>
          <t>UI</t>
        </is>
      </c>
      <c r="J27" s="13" t="inlineStr">
        <is>
          <t>Web</t>
        </is>
      </c>
      <c r="K27" s="14" t="inlineStr">
        <is>
          <t>Mocks – Figure 7</t>
        </is>
      </c>
      <c r="L27" s="15" t="n"/>
      <c r="M27" s="16" t="inlineStr">
        <is>
          <t>Not Executed</t>
        </is>
      </c>
      <c r="N27" s="15" t="n"/>
      <c r="O27" s="17" t="n"/>
      <c r="P27" s="15" t="n"/>
      <c r="Q27" s="14" t="inlineStr">
        <is>
          <t>Partial: HLA-B02-partial (hour-log-adjustment.spec.ts); HLA-B02-partial (hour-log-decisions.spec.ts)</t>
        </is>
      </c>
    </row>
    <row r="28" ht="105.6" customHeight="1">
      <c r="A28" s="13" t="inlineStr">
        <is>
          <t>HLA-WD-003</t>
        </is>
      </c>
      <c r="B28" s="14" t="inlineStr">
        <is>
          <t>Web – Hour Log Change Requests Drawer</t>
        </is>
      </c>
      <c r="C28" s="14" t="inlineStr">
        <is>
          <t>Logged / Requested / Change values</t>
        </is>
      </c>
      <c r="D28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8" s="14" t="inlineStr">
        <is>
          <t>1. Review REQ-0007 panel.</t>
        </is>
      </c>
      <c r="F28" s="14" t="inlineStr">
        <is>
          <t>6:12–11:48 (5h 36m); 5:45–12:30 (6h 45m)</t>
        </is>
      </c>
      <c r="G28" s="14" t="inlineStr">
        <is>
          <t>Change '+1h 09m on spent hours' calculated correctly.</t>
        </is>
      </c>
      <c r="H28" s="13" t="inlineStr">
        <is>
          <t>P1</t>
        </is>
      </c>
      <c r="I28" s="13" t="inlineStr">
        <is>
          <t>Positive</t>
        </is>
      </c>
      <c r="J28" s="13" t="inlineStr">
        <is>
          <t>Web</t>
        </is>
      </c>
      <c r="K28" s="14" t="inlineStr">
        <is>
          <t>Mocks – Figure 7</t>
        </is>
      </c>
      <c r="L28" s="15" t="n"/>
      <c r="M28" s="16" t="inlineStr">
        <is>
          <t>Not Executed</t>
        </is>
      </c>
      <c r="N28" s="15" t="n"/>
      <c r="O28" s="17" t="n"/>
      <c r="P28" s="15" t="n"/>
      <c r="Q28" s="14" t="inlineStr">
        <is>
          <t>Not reachable: the API cannot raise a change to an existing entry, so no LOGGED BY APP / CHANGE panel.</t>
        </is>
      </c>
    </row>
    <row r="29" ht="79.2" customHeight="1">
      <c r="A29" s="13" t="inlineStr">
        <is>
          <t>HLA-WD-004</t>
        </is>
      </c>
      <c r="B29" s="14" t="inlineStr">
        <is>
          <t>Web – Hour Log Change Requests Drawer</t>
        </is>
      </c>
      <c r="C29" s="14" t="inlineStr">
        <is>
          <t>New entry card</t>
        </is>
      </c>
      <c r="D29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29" s="14" t="inlineStr">
        <is>
          <t>1. Review REQ-0008.</t>
        </is>
      </c>
      <c r="F29" s="14" t="inlineStr">
        <is>
          <t>-</t>
        </is>
      </c>
      <c r="G29" s="14" t="inlineStr">
        <is>
          <t>'new entry' tag, 'NOT LOGGED —', requested 1:05–4:40 PM (3h 35m), change +3h 35m.</t>
        </is>
      </c>
      <c r="H29" s="13" t="inlineStr">
        <is>
          <t>P1</t>
        </is>
      </c>
      <c r="I29" s="13" t="inlineStr">
        <is>
          <t>Positive</t>
        </is>
      </c>
      <c r="J29" s="13" t="inlineStr">
        <is>
          <t>Web</t>
        </is>
      </c>
      <c r="K29" s="14" t="inlineStr">
        <is>
          <t>Mocks – Figure 7</t>
        </is>
      </c>
      <c r="L29" s="15" t="n"/>
      <c r="M29" s="16" t="inlineStr">
        <is>
          <t>Not Executed</t>
        </is>
      </c>
      <c r="N29" s="15" t="n"/>
      <c r="O29" s="17" t="n"/>
      <c r="P29" s="15" t="n"/>
      <c r="Q29" s="14" t="inlineStr">
        <is>
          <t>Live differs: new-entry cards show only the Requested panel (no "new entry" tag, no NOT LOGGED).</t>
        </is>
      </c>
    </row>
    <row r="30" ht="39.6" customHeight="1">
      <c r="A30" s="13" t="inlineStr">
        <is>
          <t>HLA-WD-005</t>
        </is>
      </c>
      <c r="B30" s="14" t="inlineStr">
        <is>
          <t>Web – Hour Log Change Requests Drawer</t>
        </is>
      </c>
      <c r="C30" s="14" t="inlineStr">
        <is>
          <t>Multiple machines/implements shown</t>
        </is>
      </c>
      <c r="D30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0" s="14" t="inlineStr">
        <is>
          <t>1. Review REQ-0008.</t>
        </is>
      </c>
      <c r="F30" s="14" t="inlineStr">
        <is>
          <t>AST-0121 · AST-0203</t>
        </is>
      </c>
      <c r="G30" s="14" t="inlineStr">
        <is>
          <t>All selected machines listed separated by '·'; implements listed.</t>
        </is>
      </c>
      <c r="H30" s="13" t="inlineStr">
        <is>
          <t>P2</t>
        </is>
      </c>
      <c r="I30" s="13" t="inlineStr">
        <is>
          <t>UI</t>
        </is>
      </c>
      <c r="J30" s="13" t="inlineStr">
        <is>
          <t>Web</t>
        </is>
      </c>
      <c r="K30" s="14" t="inlineStr">
        <is>
          <t>Mocks – Figure 7</t>
        </is>
      </c>
      <c r="L30" s="15" t="n"/>
      <c r="M30" s="16" t="inlineStr">
        <is>
          <t>Not Executed</t>
        </is>
      </c>
      <c r="N30" s="15" t="n"/>
      <c r="O30" s="17" t="n"/>
      <c r="P30" s="15" t="n"/>
      <c r="Q30" s="14" t="inlineStr">
        <is>
          <t>Automated: HLA-B02-partial (hour-log-decisions.spec.ts)</t>
        </is>
      </c>
    </row>
    <row r="31" ht="105.6" customHeight="1">
      <c r="A31" s="13" t="inlineStr">
        <is>
          <t>HLA-WD-006</t>
        </is>
      </c>
      <c r="B31" s="14" t="inlineStr">
        <is>
          <t>Web – Hour Log Change Requests Drawer</t>
        </is>
      </c>
      <c r="C31" s="14" t="inlineStr">
        <is>
          <t>Operator reason shown</t>
        </is>
      </c>
      <c r="D3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1" s="14" t="inlineStr">
        <is>
          <t>1. Check reason line.</t>
        </is>
      </c>
      <c r="F31" s="14" t="inlineStr">
        <is>
          <t>-</t>
        </is>
      </c>
      <c r="G31" s="14" t="inlineStr">
        <is>
          <t>Operator's reason displayed in full.</t>
        </is>
      </c>
      <c r="H31" s="13" t="inlineStr">
        <is>
          <t>P1</t>
        </is>
      </c>
      <c r="I31" s="13" t="inlineStr">
        <is>
          <t>Positive</t>
        </is>
      </c>
      <c r="J31" s="13" t="inlineStr">
        <is>
          <t>Web</t>
        </is>
      </c>
      <c r="K31" s="14" t="inlineStr">
        <is>
          <t>Mocks – Figure 7</t>
        </is>
      </c>
      <c r="L31" s="15" t="n"/>
      <c r="M31" s="16" t="inlineStr">
        <is>
          <t>Not Executed</t>
        </is>
      </c>
      <c r="N31" s="15" t="n"/>
      <c r="O31" s="17" t="n"/>
      <c r="P31" s="15" t="n"/>
      <c r="Q31" s="14" t="inlineStr">
        <is>
          <t>Automated: HLA-B02-partial (hour-log-decisions.spec.ts)</t>
        </is>
      </c>
    </row>
    <row r="32" ht="118.8" customHeight="1">
      <c r="A32" s="13" t="inlineStr">
        <is>
          <t>HLA-WD-007</t>
        </is>
      </c>
      <c r="B32" s="14" t="inlineStr">
        <is>
          <t>Web – Hour Log Change Requests Drawer</t>
        </is>
      </c>
      <c r="C32" s="14" t="inlineStr">
        <is>
          <t>Approve button shows requested duration</t>
        </is>
      </c>
      <c r="D3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2" s="14" t="inlineStr">
        <is>
          <t>1. Check buttons.</t>
        </is>
      </c>
      <c r="F32" s="14" t="inlineStr">
        <is>
          <t>-</t>
        </is>
      </c>
      <c r="G32" s="14" t="inlineStr">
        <is>
          <t>'Approve 6h 45m' (REQ-0007) and 'Approve 3h 35m' (REQ-0008); Adjust and Reject present.</t>
        </is>
      </c>
      <c r="H32" s="13" t="inlineStr">
        <is>
          <t>P1</t>
        </is>
      </c>
      <c r="I32" s="13" t="inlineStr">
        <is>
          <t>UI</t>
        </is>
      </c>
      <c r="J32" s="13" t="inlineStr">
        <is>
          <t>Web</t>
        </is>
      </c>
      <c r="K32" s="14" t="inlineStr">
        <is>
          <t>Mocks – Figure 7</t>
        </is>
      </c>
      <c r="L32" s="15" t="n"/>
      <c r="M32" s="16" t="inlineStr">
        <is>
          <t>Not Executed</t>
        </is>
      </c>
      <c r="N32" s="15" t="n"/>
      <c r="O32" s="17" t="n"/>
      <c r="P32" s="15" t="n"/>
      <c r="Q32" s="14" t="inlineStr">
        <is>
          <t>Automated: HLA-B02-partial (hour-log-decisions.spec.ts)</t>
        </is>
      </c>
    </row>
    <row r="33" ht="118.8" customHeight="1">
      <c r="A33" s="13" t="inlineStr">
        <is>
          <t>HLA-WD-008</t>
        </is>
      </c>
      <c r="B33" s="14" t="inlineStr">
        <is>
          <t>Web – Hour Log Change Requests Drawer</t>
        </is>
      </c>
      <c r="C33" s="14" t="inlineStr">
        <is>
          <t>Close drawer</t>
        </is>
      </c>
      <c r="D33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3" s="14" t="inlineStr">
        <is>
          <t>1. Click X.</t>
        </is>
      </c>
      <c r="F33" s="14" t="inlineStr">
        <is>
          <t>-</t>
        </is>
      </c>
      <c r="G33" s="14" t="inlineStr">
        <is>
          <t>Drawer closes; table unchanged unless decisions made.</t>
        </is>
      </c>
      <c r="H33" s="13" t="inlineStr">
        <is>
          <t>P3</t>
        </is>
      </c>
      <c r="I33" s="13" t="inlineStr">
        <is>
          <t>UI</t>
        </is>
      </c>
      <c r="J33" s="13" t="inlineStr">
        <is>
          <t>Web</t>
        </is>
      </c>
      <c r="K33" s="14" t="inlineStr">
        <is>
          <t>Mocks – Figure 7</t>
        </is>
      </c>
      <c r="L33" s="15" t="n"/>
      <c r="M33" s="16" t="inlineStr">
        <is>
          <t>Not Executed</t>
        </is>
      </c>
      <c r="N33" s="15" t="n"/>
      <c r="O33" s="17" t="n"/>
      <c r="P33" s="15" t="n"/>
      <c r="Q33" s="14" t="inlineStr">
        <is>
          <t>Automated: HLA-B02-partial (hour-log-decisions.spec.ts)</t>
        </is>
      </c>
    </row>
    <row r="34" ht="105.6" customHeight="1">
      <c r="A34" s="13" t="inlineStr">
        <is>
          <t>HLA-WD-009</t>
        </is>
      </c>
      <c r="B34" s="14" t="inlineStr">
        <is>
          <t>Web – Hour Log Change Requests Drawer</t>
        </is>
      </c>
      <c r="C34" s="14" t="inlineStr">
        <is>
          <t>Decided requests handling in drawer</t>
        </is>
      </c>
      <c r="D3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4" s="14" t="inlineStr">
        <is>
          <t>1. Approve REQ-0007.
2. Observe drawer.</t>
        </is>
      </c>
      <c r="F34" s="14" t="inlineStr">
        <is>
          <t>-</t>
        </is>
      </c>
      <c r="G34" s="14" t="inlineStr">
        <is>
          <t>Decided request removed from pending list or marked with status (confirm CL-14); header count updates.</t>
        </is>
      </c>
      <c r="H34" s="13" t="inlineStr">
        <is>
          <t>P2</t>
        </is>
      </c>
      <c r="I34" s="13" t="inlineStr">
        <is>
          <t>Positive</t>
        </is>
      </c>
      <c r="J34" s="13" t="inlineStr">
        <is>
          <t>Web</t>
        </is>
      </c>
      <c r="K34" s="14" t="inlineStr">
        <is>
          <t>Mocks – Figure 7</t>
        </is>
      </c>
      <c r="L34" s="15" t="n"/>
      <c r="M34" s="16" t="inlineStr">
        <is>
          <t>Not Executed</t>
        </is>
      </c>
      <c r="N34" s="15" t="n"/>
      <c r="O34" s="17" t="n"/>
      <c r="P34" s="15" t="n"/>
      <c r="Q34" s="14" t="inlineStr">
        <is>
          <t>Automated: HLA-B04 (hour-log-decisions.spec.ts)</t>
        </is>
      </c>
    </row>
    <row r="35" ht="105.6" customHeight="1">
      <c r="A35" s="13" t="inlineStr">
        <is>
          <t>HLA-WD-010</t>
        </is>
      </c>
      <c r="B35" s="14" t="inlineStr">
        <is>
          <t>Web – Hour Log Change Requests Drawer</t>
        </is>
      </c>
      <c r="C35" s="14" t="inlineStr">
        <is>
          <t>Many requests – scroll and order</t>
        </is>
      </c>
      <c r="D35" s="14" t="inlineStr">
        <is>
          <t>10+ pending requests.</t>
        </is>
      </c>
      <c r="E35" s="14" t="inlineStr">
        <is>
          <t>1. Open drawer; scroll.</t>
        </is>
      </c>
      <c r="F35" s="14" t="inlineStr">
        <is>
          <t>-</t>
        </is>
      </c>
      <c r="G35" s="14" t="inlineStr">
        <is>
          <t>All visible; order consistent (CL-14); no layout break.</t>
        </is>
      </c>
      <c r="H35" s="13" t="inlineStr">
        <is>
          <t>P3</t>
        </is>
      </c>
      <c r="I35" s="13" t="inlineStr">
        <is>
          <t>UI</t>
        </is>
      </c>
      <c r="J35" s="13" t="inlineStr">
        <is>
          <t>Web</t>
        </is>
      </c>
      <c r="K35" s="14" t="inlineStr">
        <is>
          <t>Mocks – Figure 7</t>
        </is>
      </c>
      <c r="L35" s="15" t="n"/>
      <c r="M35" s="16" t="inlineStr">
        <is>
          <t>Not Executed</t>
        </is>
      </c>
      <c r="N35" s="15" t="n"/>
      <c r="O35" s="17" t="n"/>
      <c r="P35" s="15" t="n"/>
      <c r="Q35" s="14" t="inlineStr">
        <is>
          <t>Partial: HLA-B02-partial (hour-log-decisions.spec.ts)</t>
        </is>
      </c>
    </row>
    <row r="36" ht="105.6" customHeight="1">
      <c r="A36" s="13" t="inlineStr">
        <is>
          <t>HLA-WD-011</t>
        </is>
      </c>
      <c r="B36" s="14" t="inlineStr">
        <is>
          <t>Web – Hour Log Change Requests Drawer</t>
        </is>
      </c>
      <c r="C36" s="14" t="inlineStr">
        <is>
          <t>Android device badge</t>
        </is>
      </c>
      <c r="D36" s="14" t="inlineStr">
        <is>
          <t>Request raised from Android.</t>
        </is>
      </c>
      <c r="E36" s="14" t="inlineStr">
        <is>
          <t>1. Open drawer.</t>
        </is>
      </c>
      <c r="F36" s="14" t="inlineStr">
        <is>
          <t>-</t>
        </is>
      </c>
      <c r="G36" s="14" t="inlineStr">
        <is>
          <t>Badge shows Android.</t>
        </is>
      </c>
      <c r="H36" s="13" t="inlineStr">
        <is>
          <t>P3</t>
        </is>
      </c>
      <c r="I36" s="13" t="inlineStr">
        <is>
          <t>UI</t>
        </is>
      </c>
      <c r="J36" s="13" t="inlineStr">
        <is>
          <t>Web</t>
        </is>
      </c>
      <c r="K36" s="14" t="inlineStr">
        <is>
          <t>Data Dictionary – Device</t>
        </is>
      </c>
      <c r="L36" s="15" t="n"/>
      <c r="M36" s="16" t="inlineStr">
        <is>
          <t>Not Executed</t>
        </is>
      </c>
      <c r="N36" s="15" t="n"/>
      <c r="O36" s="17" t="n"/>
      <c r="P36" s="15" t="n"/>
      <c r="Q36" s="14" t="inlineStr">
        <is>
          <t>Automated: HLA-B02-partial (hour-log-decisions.spec.ts)</t>
        </is>
      </c>
    </row>
    <row r="37" ht="105.6" customHeight="1">
      <c r="A37" s="13" t="inlineStr">
        <is>
          <t>HLA-AP-001</t>
        </is>
      </c>
      <c r="B37" s="14" t="inlineStr">
        <is>
          <t>Web – Approve</t>
        </is>
      </c>
      <c r="C37" s="14" t="inlineStr">
        <is>
          <t>Approve edit request</t>
        </is>
      </c>
      <c r="D3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7" s="14" t="inlineStr">
        <is>
          <t>1. Click 'Approve 6h 45m' on REQ-0007.</t>
        </is>
      </c>
      <c r="F37" s="14" t="inlineStr">
        <is>
          <t>-</t>
        </is>
      </c>
      <c r="G37" s="14" t="inlineStr">
        <is>
          <t>Status = Approved; final start/end = requested (5:45–12:30); existing entry updated (not duplicated).</t>
        </is>
      </c>
      <c r="H37" s="13" t="inlineStr">
        <is>
          <t>P1</t>
        </is>
      </c>
      <c r="I37" s="13" t="inlineStr">
        <is>
          <t>Positive</t>
        </is>
      </c>
      <c r="J37" s="13" t="inlineStr">
        <is>
          <t>Web</t>
        </is>
      </c>
      <c r="K37" s="14" t="inlineStr">
        <is>
          <t>Solution Overview / Farm Manager User Journey</t>
        </is>
      </c>
      <c r="L37" s="15" t="n"/>
      <c r="M37" s="16" t="inlineStr">
        <is>
          <t>Not Executed</t>
        </is>
      </c>
      <c r="N37" s="15" t="n"/>
      <c r="O37" s="17" t="n"/>
      <c r="P37" s="15" t="n"/>
      <c r="Q37" s="14" t="inlineStr">
        <is>
          <t>Automated: HLA-B04 (hour-log-decisions.spec.ts)</t>
        </is>
      </c>
    </row>
    <row r="38" ht="118.8" customHeight="1">
      <c r="A38" s="13" t="inlineStr">
        <is>
          <t>HLA-AP-002</t>
        </is>
      </c>
      <c r="B38" s="14" t="inlineStr">
        <is>
          <t>Web – Approve</t>
        </is>
      </c>
      <c r="C38" s="14" t="inlineStr">
        <is>
          <t>Approve new entry request</t>
        </is>
      </c>
      <c r="D38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8" s="14" t="inlineStr">
        <is>
          <t>1. Approve REQ-0008.</t>
        </is>
      </c>
      <c r="F38" s="14" t="inlineStr">
        <is>
          <t>-</t>
        </is>
      </c>
      <c r="G38" s="14" t="inlineStr">
        <is>
          <t>New hour log entry created 1:05–4:40 PM with selected machines/implements.</t>
        </is>
      </c>
      <c r="H38" s="13" t="inlineStr">
        <is>
          <t>P1</t>
        </is>
      </c>
      <c r="I38" s="13" t="inlineStr">
        <is>
          <t>Positive</t>
        </is>
      </c>
      <c r="J38" s="13" t="inlineStr">
        <is>
          <t>Web</t>
        </is>
      </c>
      <c r="K38" s="14" t="inlineStr">
        <is>
          <t>Solution Overview / Farm Manager User Journey</t>
        </is>
      </c>
      <c r="L38" s="15" t="n"/>
      <c r="M38" s="16" t="inlineStr">
        <is>
          <t>Not Executed</t>
        </is>
      </c>
      <c r="N38" s="15" t="n"/>
      <c r="O38" s="17" t="n"/>
      <c r="P38" s="15" t="n"/>
      <c r="Q38" s="14" t="inlineStr">
        <is>
          <t>Automated: HLA-B04 (hour-log-decisions.spec.ts)</t>
        </is>
      </c>
    </row>
    <row r="39" ht="105.6" customHeight="1">
      <c r="A39" s="13" t="inlineStr">
        <is>
          <t>HLA-AP-003</t>
        </is>
      </c>
      <c r="B39" s="14" t="inlineStr">
        <is>
          <t>Web – Approve</t>
        </is>
      </c>
      <c r="C39" s="14" t="inlineStr">
        <is>
          <t>Spent Hours updated by change amount</t>
        </is>
      </c>
      <c r="D39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39" s="14" t="inlineStr">
        <is>
          <t>1. Note Spent Hours.
2. Approve REQ-0007.</t>
        </is>
      </c>
      <c r="F39" s="14" t="inlineStr">
        <is>
          <t>+1h 09m</t>
        </is>
      </c>
      <c r="G39" s="14" t="inlineStr">
        <is>
          <t>Spent Hours increased by exactly 1h 09m.</t>
        </is>
      </c>
      <c r="H39" s="13" t="inlineStr">
        <is>
          <t>P1</t>
        </is>
      </c>
      <c r="I39" s="13" t="inlineStr">
        <is>
          <t>Positive</t>
        </is>
      </c>
      <c r="J39" s="13" t="inlineStr">
        <is>
          <t>Web</t>
        </is>
      </c>
      <c r="K39" s="14" t="inlineStr">
        <is>
          <t>Solution Overview / Farm Manager User Journey</t>
        </is>
      </c>
      <c r="L39" s="15" t="n"/>
      <c r="M39" s="16" t="inlineStr">
        <is>
          <t>Not Executed</t>
        </is>
      </c>
      <c r="N39" s="15" t="n"/>
      <c r="O39" s="17" t="n"/>
      <c r="P39" s="15" t="n"/>
      <c r="Q39" s="14" t="inlineStr">
        <is>
          <t>Automated: HLA-B04 (hour-log-decisions.spec.ts)</t>
        </is>
      </c>
    </row>
    <row r="40" ht="105.6" customHeight="1">
      <c r="A40" s="13" t="inlineStr">
        <is>
          <t>HLA-AP-004</t>
        </is>
      </c>
      <c r="B40" s="14" t="inlineStr">
        <is>
          <t>Web – Approve</t>
        </is>
      </c>
      <c r="C40" s="14" t="inlineStr">
        <is>
          <t>Approve request reducing hours</t>
        </is>
      </c>
      <c r="D40" s="14" t="inlineStr">
        <is>
          <t>Pending request with negative change.</t>
        </is>
      </c>
      <c r="E40" s="14" t="inlineStr">
        <is>
          <t>1. Approve.</t>
        </is>
      </c>
      <c r="F40" s="14" t="inlineStr">
        <is>
          <t>-1h 00m</t>
        </is>
      </c>
      <c r="G40" s="14" t="inlineStr">
        <is>
          <t>Spent Hours reduced accordingly.</t>
        </is>
      </c>
      <c r="H40" s="13" t="inlineStr">
        <is>
          <t>P2</t>
        </is>
      </c>
      <c r="I40" s="13" t="inlineStr">
        <is>
          <t>Positive</t>
        </is>
      </c>
      <c r="J40" s="13" t="inlineStr">
        <is>
          <t>Web</t>
        </is>
      </c>
      <c r="K40" s="14" t="inlineStr">
        <is>
          <t>Solution Overview / Farm Manager User Journey</t>
        </is>
      </c>
      <c r="L40" s="15" t="n"/>
      <c r="M40" s="16" t="inlineStr">
        <is>
          <t>Not Executed</t>
        </is>
      </c>
      <c r="N40" s="15" t="n"/>
      <c r="O40" s="17" t="n"/>
      <c r="P40" s="15" t="n"/>
      <c r="Q40" s="14" t="inlineStr">
        <is>
          <t>Not reachable: needs a change to an existing entry (see WD-003).</t>
        </is>
      </c>
    </row>
    <row r="41" ht="105.6" customHeight="1">
      <c r="A41" s="13" t="inlineStr">
        <is>
          <t>HLA-AP-005</t>
        </is>
      </c>
      <c r="B41" s="14" t="inlineStr">
        <is>
          <t>Web – Approve</t>
        </is>
      </c>
      <c r="C41" s="14" t="inlineStr">
        <is>
          <t>Decided By / Decided At captured</t>
        </is>
      </c>
      <c r="D4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1" s="14" t="inlineStr">
        <is>
          <t>1. Approve.
2. Check audit log.</t>
        </is>
      </c>
      <c r="F41" s="14" t="inlineStr">
        <is>
          <t>-</t>
        </is>
      </c>
      <c r="G41" s="14" t="inlineStr">
        <is>
          <t>Decided By = David Luke; Decided At = decision time.</t>
        </is>
      </c>
      <c r="H41" s="13" t="inlineStr">
        <is>
          <t>P2</t>
        </is>
      </c>
      <c r="I41" s="13" t="inlineStr">
        <is>
          <t>Positive</t>
        </is>
      </c>
      <c r="J41" s="13" t="inlineStr">
        <is>
          <t>Web</t>
        </is>
      </c>
      <c r="K41" s="14" t="inlineStr">
        <is>
          <t>Data Dictionary</t>
        </is>
      </c>
      <c r="L41" s="15" t="n"/>
      <c r="M41" s="16" t="inlineStr">
        <is>
          <t>Not Executed</t>
        </is>
      </c>
      <c r="N41" s="15" t="n"/>
      <c r="O41" s="17" t="n"/>
      <c r="P41" s="15" t="n"/>
      <c r="Q41" s="14" t="inlineStr">
        <is>
          <t>Partial: HLA-B04 (hour-log-decisions.spec.ts)</t>
        </is>
      </c>
    </row>
    <row r="42" ht="105.6" customHeight="1">
      <c r="A42" s="13" t="inlineStr">
        <is>
          <t>HLA-AP-006</t>
        </is>
      </c>
      <c r="B42" s="14" t="inlineStr">
        <is>
          <t>Web – Approve</t>
        </is>
      </c>
      <c r="C42" s="14" t="inlineStr">
        <is>
          <t>Double click Approve</t>
        </is>
      </c>
      <c r="D4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2" s="14" t="inlineStr">
        <is>
          <t>1. Double-click Approve.</t>
        </is>
      </c>
      <c r="F42" s="14" t="inlineStr">
        <is>
          <t>-</t>
        </is>
      </c>
      <c r="G42" s="14" t="inlineStr">
        <is>
          <t>One decision, one audit entry, hours applied once.</t>
        </is>
      </c>
      <c r="H42" s="13" t="inlineStr">
        <is>
          <t>P2</t>
        </is>
      </c>
      <c r="I42" s="13" t="inlineStr">
        <is>
          <t>Negative</t>
        </is>
      </c>
      <c r="J42" s="13" t="inlineStr">
        <is>
          <t>Web</t>
        </is>
      </c>
      <c r="K42" s="14" t="inlineStr">
        <is>
          <t>Solution Overview / Farm Manager User Journey</t>
        </is>
      </c>
      <c r="L42" s="15" t="n"/>
      <c r="M42" s="16" t="inlineStr">
        <is>
          <t>Not Executed</t>
        </is>
      </c>
      <c r="N42" s="15" t="n"/>
      <c r="O42" s="17" t="n"/>
      <c r="P42" s="15" t="n"/>
      <c r="Q42" s="14" t="inlineStr">
        <is>
          <t>Automated: HLA-AP-006 (hour-log-decisions.spec.ts)</t>
        </is>
      </c>
    </row>
    <row r="43" ht="105.6" customHeight="1">
      <c r="A43" s="13" t="inlineStr">
        <is>
          <t>HLA-AP-007</t>
        </is>
      </c>
      <c r="B43" s="14" t="inlineStr">
        <is>
          <t>Web – Approve</t>
        </is>
      </c>
      <c r="C43" s="14" t="inlineStr">
        <is>
          <t>Concurrent decision by two managers</t>
        </is>
      </c>
      <c r="D43" s="14" t="inlineStr">
        <is>
          <t>Two managers open same drawer.</t>
        </is>
      </c>
      <c r="E43" s="14" t="inlineStr">
        <is>
          <t>1. Manager A approves REQ-0007.
2. Manager B rejects REQ-0007.</t>
        </is>
      </c>
      <c r="F43" s="14" t="inlineStr">
        <is>
          <t>-</t>
        </is>
      </c>
      <c r="G43" s="14" t="inlineStr">
        <is>
          <t>Second action blocked with 'already decided' message; single decision stands.</t>
        </is>
      </c>
      <c r="H43" s="13" t="inlineStr">
        <is>
          <t>P2</t>
        </is>
      </c>
      <c r="I43" s="13" t="inlineStr">
        <is>
          <t>Negative</t>
        </is>
      </c>
      <c r="J43" s="13" t="inlineStr">
        <is>
          <t>Web</t>
        </is>
      </c>
      <c r="K43" s="14" t="inlineStr">
        <is>
          <t>Solution Overview / Farm Manager User Journey</t>
        </is>
      </c>
      <c r="L43" s="15" t="n"/>
      <c r="M43" s="16" t="inlineStr">
        <is>
          <t>Not Executed</t>
        </is>
      </c>
      <c r="N43" s="15" t="n"/>
      <c r="O43" s="17" t="n"/>
      <c r="P43" s="15" t="n"/>
      <c r="Q43" s="14" t="inlineStr">
        <is>
          <t>Partial: HLA-B04 (hour-log-decisions.spec.ts)</t>
        </is>
      </c>
    </row>
    <row r="44" ht="105.6" customHeight="1">
      <c r="A44" s="13" t="inlineStr">
        <is>
          <t>HLA-AD-001</t>
        </is>
      </c>
      <c r="B44" s="14" t="inlineStr">
        <is>
          <t>Web – Adjust</t>
        </is>
      </c>
      <c r="C44" s="14" t="inlineStr">
        <is>
          <t>Open Adjust panel</t>
        </is>
      </c>
      <c r="D4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4" s="14" t="inlineStr">
        <is>
          <t>1. Click Adjust on REQ-0007.</t>
        </is>
      </c>
      <c r="F44" s="14" t="inlineStr">
        <is>
          <t>-</t>
        </is>
      </c>
      <c r="G44" s="14" t="inlineStr">
        <is>
          <t>'Set the hours yourself' with Machine, Implement, Job start, Job end, note field, 'Approve Xh Ym' and Cancel.</t>
        </is>
      </c>
      <c r="H44" s="13" t="inlineStr">
        <is>
          <t>P1</t>
        </is>
      </c>
      <c r="I44" s="13" t="inlineStr">
        <is>
          <t>UI</t>
        </is>
      </c>
      <c r="J44" s="13" t="inlineStr">
        <is>
          <t>Web</t>
        </is>
      </c>
      <c r="K44" s="14" t="inlineStr">
        <is>
          <t>Mocks – Figure 8 / 9</t>
        </is>
      </c>
      <c r="L44" s="15" t="n"/>
      <c r="M44" s="16" t="inlineStr">
        <is>
          <t>Not Executed</t>
        </is>
      </c>
      <c r="N44" s="15" t="n"/>
      <c r="O44" s="17" t="n"/>
      <c r="P44" s="15" t="n"/>
      <c r="Q44" s="14" t="inlineStr">
        <is>
          <t>Partial: HLA-B06 (hour-log-adjustment.spec.ts); HLA-B06 (hour-log-decisions.spec.ts)</t>
        </is>
      </c>
    </row>
    <row r="45" ht="105.6" customHeight="1">
      <c r="A45" s="13" t="inlineStr">
        <is>
          <t>HLA-AD-002</t>
        </is>
      </c>
      <c r="B45" s="14" t="inlineStr">
        <is>
          <t>Web – Adjust</t>
        </is>
      </c>
      <c r="C45" s="14" t="inlineStr">
        <is>
          <t>Adjust panel pre-filled with requested values</t>
        </is>
      </c>
      <c r="D45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5" s="14" t="inlineStr">
        <is>
          <t>1. Click Adjust.</t>
        </is>
      </c>
      <c r="F45" s="14" t="inlineStr">
        <is>
          <t>-</t>
        </is>
      </c>
      <c r="G45" s="14" t="inlineStr">
        <is>
          <t>Machines, implements and times pre-filled from the request.</t>
        </is>
      </c>
      <c r="H45" s="13" t="inlineStr">
        <is>
          <t>P2</t>
        </is>
      </c>
      <c r="I45" s="13" t="inlineStr">
        <is>
          <t>Positive</t>
        </is>
      </c>
      <c r="J45" s="13" t="inlineStr">
        <is>
          <t>Web</t>
        </is>
      </c>
      <c r="K45" s="14" t="inlineStr">
        <is>
          <t>Mocks – Figure 8 / 9</t>
        </is>
      </c>
      <c r="L45" s="15" t="n"/>
      <c r="M45" s="16" t="inlineStr">
        <is>
          <t>Not Executed</t>
        </is>
      </c>
      <c r="N45" s="15" t="n"/>
      <c r="O45" s="17" t="n"/>
      <c r="P45" s="15" t="n"/>
      <c r="Q45" s="14" t="inlineStr">
        <is>
          <t>Automated: HLA-B07 (hour-log-decisions.spec.ts)</t>
        </is>
      </c>
    </row>
    <row r="46" ht="105.6" customHeight="1">
      <c r="A46" s="13" t="inlineStr">
        <is>
          <t>HLA-AD-003</t>
        </is>
      </c>
      <c r="B46" s="14" t="inlineStr">
        <is>
          <t>Web – Adjust</t>
        </is>
      </c>
      <c r="C46" s="14" t="inlineStr">
        <is>
          <t>Machine multi-select keeps selection</t>
        </is>
      </c>
      <c r="D46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6" s="14" t="inlineStr">
        <is>
          <t>1. Open Machine dropdown.
2. Add AST-0203.</t>
        </is>
      </c>
      <c r="F46" s="14" t="inlineStr">
        <is>
          <t>-</t>
        </is>
      </c>
      <c r="G46" s="14" t="inlineStr">
        <is>
          <t>Existing selection stays ticked; label '2 selected' with names below.</t>
        </is>
      </c>
      <c r="H46" s="13" t="inlineStr">
        <is>
          <t>P1</t>
        </is>
      </c>
      <c r="I46" s="13" t="inlineStr">
        <is>
          <t>Positive</t>
        </is>
      </c>
      <c r="J46" s="13" t="inlineStr">
        <is>
          <t>Web</t>
        </is>
      </c>
      <c r="K46" s="14" t="inlineStr">
        <is>
          <t>Figure 9</t>
        </is>
      </c>
      <c r="L46" s="15" t="n"/>
      <c r="M46" s="16" t="inlineStr">
        <is>
          <t>Not Executed</t>
        </is>
      </c>
      <c r="N46" s="15" t="n"/>
      <c r="O46" s="17" t="n"/>
      <c r="P46" s="15" t="n"/>
      <c r="Q46" s="14" t="inlineStr">
        <is>
          <t>Automated: HLA-B05 (hour-log-decisions.spec.ts)</t>
        </is>
      </c>
    </row>
    <row r="47" ht="105.6" customHeight="1">
      <c r="A47" s="13" t="inlineStr">
        <is>
          <t>HLA-AD-004</t>
        </is>
      </c>
      <c r="B47" s="14" t="inlineStr">
        <is>
          <t>Web – Adjust</t>
        </is>
      </c>
      <c r="C47" s="14" t="inlineStr">
        <is>
          <t>Implement multi-select add/remove</t>
        </is>
      </c>
      <c r="D4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7" s="14" t="inlineStr">
        <is>
          <t>1. Open Implement dropdown.
2. Tick IMP-0090; untick IMP-0044.</t>
        </is>
      </c>
      <c r="F47" s="14" t="inlineStr">
        <is>
          <t>-</t>
        </is>
      </c>
      <c r="G47" s="14" t="inlineStr">
        <is>
          <t>Selection updates without losing other selections.</t>
        </is>
      </c>
      <c r="H47" s="13" t="inlineStr">
        <is>
          <t>P2</t>
        </is>
      </c>
      <c r="I47" s="13" t="inlineStr">
        <is>
          <t>Positive</t>
        </is>
      </c>
      <c r="J47" s="13" t="inlineStr">
        <is>
          <t>Web</t>
        </is>
      </c>
      <c r="K47" s="14" t="inlineStr">
        <is>
          <t>Figure 9</t>
        </is>
      </c>
      <c r="L47" s="15" t="n"/>
      <c r="M47" s="16" t="inlineStr">
        <is>
          <t>Not Executed</t>
        </is>
      </c>
      <c r="N47" s="15" t="n"/>
      <c r="O47" s="17" t="n"/>
      <c r="P47" s="15" t="n"/>
      <c r="Q47" s="14" t="inlineStr">
        <is>
          <t>Not automated: the seeded WO has no implements.</t>
        </is>
      </c>
    </row>
    <row r="48" ht="105.6" customHeight="1">
      <c r="A48" s="13" t="inlineStr">
        <is>
          <t>HLA-AD-005</t>
        </is>
      </c>
      <c r="B48" s="14" t="inlineStr">
        <is>
          <t>Web – Adjust</t>
        </is>
      </c>
      <c r="C48" s="14" t="inlineStr">
        <is>
          <t>Approve button reflects adjusted duration</t>
        </is>
      </c>
      <c r="D48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8" s="14" t="inlineStr">
        <is>
          <t>1. Set start 06:00 AM, end 12:30 PM.</t>
        </is>
      </c>
      <c r="F48" s="14" t="inlineStr">
        <is>
          <t>-</t>
        </is>
      </c>
      <c r="G48" s="14" t="inlineStr">
        <is>
          <t>Button shows 'Approve 6h 30m'; updates live.</t>
        </is>
      </c>
      <c r="H48" s="13" t="inlineStr">
        <is>
          <t>P1</t>
        </is>
      </c>
      <c r="I48" s="13" t="inlineStr">
        <is>
          <t>Positive</t>
        </is>
      </c>
      <c r="J48" s="13" t="inlineStr">
        <is>
          <t>Web</t>
        </is>
      </c>
      <c r="K48" s="14" t="inlineStr">
        <is>
          <t>Mocks – Figure 8 / 9</t>
        </is>
      </c>
      <c r="L48" s="15" t="n"/>
      <c r="M48" s="16" t="inlineStr">
        <is>
          <t>Not Executed</t>
        </is>
      </c>
      <c r="N48" s="15" t="n"/>
      <c r="O48" s="17" t="n"/>
      <c r="P48" s="15" t="n"/>
      <c r="Q48" s="14" t="inlineStr">
        <is>
          <t>Live differs: the Adjust button reads "Approve Hours" with no duration.</t>
        </is>
      </c>
    </row>
    <row r="49" ht="105.6" customHeight="1">
      <c r="A49" s="13" t="inlineStr">
        <is>
          <t>HLA-AD-006</t>
        </is>
      </c>
      <c r="B49" s="14" t="inlineStr">
        <is>
          <t>Web – Adjust</t>
        </is>
      </c>
      <c r="C49" s="14" t="inlineStr">
        <is>
          <t>Approve adjusted hours</t>
        </is>
      </c>
      <c r="D49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49" s="14" t="inlineStr">
        <is>
          <t>1. Set 06:00–12:30, note 'Yard time is not counted — approving from 6:00.'
2. Click Approve 6h 30m.</t>
        </is>
      </c>
      <c r="F49" s="14" t="inlineStr">
        <is>
          <t>-</t>
        </is>
      </c>
      <c r="G49" s="14" t="inlineStr">
        <is>
          <t>Status Adjusted; final = 06:00–12:30; Spent Hours = 6h 30m for entry; assets updated as adjusted.</t>
        </is>
      </c>
      <c r="H49" s="13" t="inlineStr">
        <is>
          <t>P1</t>
        </is>
      </c>
      <c r="I49" s="13" t="inlineStr">
        <is>
          <t>Positive</t>
        </is>
      </c>
      <c r="J49" s="13" t="inlineStr">
        <is>
          <t>Web</t>
        </is>
      </c>
      <c r="K49" s="14" t="inlineStr">
        <is>
          <t>Mocks – Figure 8 / 9</t>
        </is>
      </c>
      <c r="L49" s="15" t="n"/>
      <c r="M49" s="16" t="inlineStr">
        <is>
          <t>Not Executed</t>
        </is>
      </c>
      <c r="N49" s="15" t="n"/>
      <c r="O49" s="17" t="n"/>
      <c r="P49" s="15" t="n"/>
      <c r="Q49" s="14" t="inlineStr">
        <is>
          <t>Automated: HLA-B05 (hour-log-decisions.spec.ts)</t>
        </is>
      </c>
    </row>
    <row r="50" ht="105.6" customHeight="1">
      <c r="A50" s="13" t="inlineStr">
        <is>
          <t>HLA-AD-008</t>
        </is>
      </c>
      <c r="B50" s="14" t="inlineStr">
        <is>
          <t>Web – Adjust</t>
        </is>
      </c>
      <c r="C50" s="14" t="inlineStr">
        <is>
          <t>Remove all machines on Adjust</t>
        </is>
      </c>
      <c r="D50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0" s="14" t="inlineStr">
        <is>
          <t>1. Untick all machines.
2. Approve.</t>
        </is>
      </c>
      <c r="F50" s="14" t="inlineStr">
        <is>
          <t>-</t>
        </is>
      </c>
      <c r="G50" s="14" t="inlineStr">
        <is>
          <t>Blocked – at least one machine required (confirm message CL-19).</t>
        </is>
      </c>
      <c r="H50" s="13" t="inlineStr">
        <is>
          <t>P1</t>
        </is>
      </c>
      <c r="I50" s="13" t="inlineStr">
        <is>
          <t>Negative</t>
        </is>
      </c>
      <c r="J50" s="13" t="inlineStr">
        <is>
          <t>Web</t>
        </is>
      </c>
      <c r="K50" s="14" t="inlineStr">
        <is>
          <t>Data Dictionary – Machines</t>
        </is>
      </c>
      <c r="L50" s="15" t="n"/>
      <c r="M50" s="16" t="inlineStr">
        <is>
          <t>Not Executed</t>
        </is>
      </c>
      <c r="N50" s="15" t="n"/>
      <c r="O50" s="17" t="n"/>
      <c r="P50" s="15" t="n"/>
      <c r="Q50" s="14" t="inlineStr">
        <is>
          <t>Automated (expected failure: fails on QA today, see FINDINGS #43): HLA-AD-008 (hour-log-decisions.spec.ts)</t>
        </is>
      </c>
    </row>
    <row r="51" ht="105.6" customHeight="1">
      <c r="A51" s="13" t="inlineStr">
        <is>
          <t>HLA-AD-009</t>
        </is>
      </c>
      <c r="B51" s="14" t="inlineStr">
        <is>
          <t>Web – Adjust</t>
        </is>
      </c>
      <c r="C51" s="14" t="inlineStr">
        <is>
          <t>Remove all implements on Adjust</t>
        </is>
      </c>
      <c r="D5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1" s="14" t="inlineStr">
        <is>
          <t>1. Untick all implements.
2. Approve.</t>
        </is>
      </c>
      <c r="F51" s="14" t="inlineStr">
        <is>
          <t>-</t>
        </is>
      </c>
      <c r="G51" s="14" t="inlineStr">
        <is>
          <t>Allowed (implement optional).</t>
        </is>
      </c>
      <c r="H51" s="13" t="inlineStr">
        <is>
          <t>P3</t>
        </is>
      </c>
      <c r="I51" s="13" t="inlineStr">
        <is>
          <t>Positive</t>
        </is>
      </c>
      <c r="J51" s="13" t="inlineStr">
        <is>
          <t>Web</t>
        </is>
      </c>
      <c r="K51" s="14" t="inlineStr">
        <is>
          <t>Mocks – Figure 8 / 9</t>
        </is>
      </c>
      <c r="L51" s="15" t="n"/>
      <c r="M51" s="16" t="inlineStr">
        <is>
          <t>Not Executed</t>
        </is>
      </c>
      <c r="N51" s="15" t="n"/>
      <c r="O51" s="17" t="n"/>
      <c r="P51" s="15" t="n"/>
      <c r="Q51" s="14" t="inlineStr">
        <is>
          <t>Not automated: the seeded WO has no implements.</t>
        </is>
      </c>
    </row>
    <row r="52" ht="105.6" customHeight="1">
      <c r="A52" s="13" t="inlineStr">
        <is>
          <t>HLA-AD-010</t>
        </is>
      </c>
      <c r="B52" s="14" t="inlineStr">
        <is>
          <t>Web – Adjust</t>
        </is>
      </c>
      <c r="C52" s="14" t="inlineStr">
        <is>
          <t>Adjusted end before start</t>
        </is>
      </c>
      <c r="D5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2" s="14" t="inlineStr">
        <is>
          <t>1. Set end 05:00 AM, start 06:00 AM.
2. Approve.</t>
        </is>
      </c>
      <c r="F52" s="14" t="inlineStr">
        <is>
          <t>-</t>
        </is>
      </c>
      <c r="G52" s="14" t="inlineStr">
        <is>
          <t>'The job end must be after the job start.' shown; approve blocked.</t>
        </is>
      </c>
      <c r="H52" s="13" t="inlineStr">
        <is>
          <t>P1</t>
        </is>
      </c>
      <c r="I52" s="13" t="inlineStr">
        <is>
          <t>Negative</t>
        </is>
      </c>
      <c r="J52" s="13" t="inlineStr">
        <is>
          <t>Web</t>
        </is>
      </c>
      <c r="K52" s="14" t="inlineStr">
        <is>
          <t>Validation Rules – Job End After Job Start</t>
        </is>
      </c>
      <c r="L52" s="15" t="n"/>
      <c r="M52" s="16" t="inlineStr">
        <is>
          <t>Not Executed</t>
        </is>
      </c>
      <c r="N52" s="15" t="n"/>
      <c r="O52" s="17" t="n"/>
      <c r="P52" s="15" t="n"/>
      <c r="Q52" s="14" t="inlineStr">
        <is>
          <t>Automated: HLA-B06 (hour-log-decisions.spec.ts)</t>
        </is>
      </c>
    </row>
    <row r="53" ht="105.6" customHeight="1">
      <c r="A53" s="13" t="inlineStr">
        <is>
          <t>HLA-AD-011</t>
        </is>
      </c>
      <c r="B53" s="14" t="inlineStr">
        <is>
          <t>Web – Adjust</t>
        </is>
      </c>
      <c r="C53" s="14" t="inlineStr">
        <is>
          <t>Adjusted end equal to start</t>
        </is>
      </c>
      <c r="D53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3" s="14" t="inlineStr">
        <is>
          <t>1. Set start=end.
2. Approve.</t>
        </is>
      </c>
      <c r="F53" s="14" t="inlineStr">
        <is>
          <t>-</t>
        </is>
      </c>
      <c r="G53" s="14" t="inlineStr">
        <is>
          <t>Same message; blocked.</t>
        </is>
      </c>
      <c r="H53" s="13" t="inlineStr">
        <is>
          <t>P2</t>
        </is>
      </c>
      <c r="I53" s="13" t="inlineStr">
        <is>
          <t>Boundary</t>
        </is>
      </c>
      <c r="J53" s="13" t="inlineStr">
        <is>
          <t>Web</t>
        </is>
      </c>
      <c r="K53" s="14" t="inlineStr">
        <is>
          <t>Job End After Job Start</t>
        </is>
      </c>
      <c r="L53" s="15" t="n"/>
      <c r="M53" s="16" t="inlineStr">
        <is>
          <t>Not Executed</t>
        </is>
      </c>
      <c r="N53" s="15" t="n"/>
      <c r="O53" s="17" t="n"/>
      <c r="P53" s="15" t="n"/>
      <c r="Q53" s="14" t="inlineStr">
        <is>
          <t>Automated: HLA-B06 (hour-log-adjustment.spec.ts); HLA-B06 (hour-log-decisions.spec.ts)</t>
        </is>
      </c>
    </row>
    <row r="54" ht="105.6" customHeight="1">
      <c r="A54" s="13" t="inlineStr">
        <is>
          <t>HLA-AD-012</t>
        </is>
      </c>
      <c r="B54" s="14" t="inlineStr">
        <is>
          <t>Web – Adjust</t>
        </is>
      </c>
      <c r="C54" s="14" t="inlineStr">
        <is>
          <t>Duration read-only on web</t>
        </is>
      </c>
      <c r="D5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4" s="14" t="inlineStr">
        <is>
          <t>1. Try to edit duration/button value.</t>
        </is>
      </c>
      <c r="F54" s="14" t="inlineStr">
        <is>
          <t>-</t>
        </is>
      </c>
      <c r="G54" s="14" t="inlineStr">
        <is>
          <t>Duration only calculated; not editable.</t>
        </is>
      </c>
      <c r="H54" s="13" t="inlineStr">
        <is>
          <t>P2</t>
        </is>
      </c>
      <c r="I54" s="13" t="inlineStr">
        <is>
          <t>Negative</t>
        </is>
      </c>
      <c r="J54" s="13" t="inlineStr">
        <is>
          <t>Web</t>
        </is>
      </c>
      <c r="K54" s="14" t="inlineStr">
        <is>
          <t>Duration Non-Editable</t>
        </is>
      </c>
      <c r="L54" s="15" t="n"/>
      <c r="M54" s="16" t="inlineStr">
        <is>
          <t>Not Executed</t>
        </is>
      </c>
      <c r="N54" s="15" t="n"/>
      <c r="O54" s="17" t="n"/>
      <c r="P54" s="15" t="n"/>
      <c r="Q54" s="14" t="inlineStr">
        <is>
          <t>Live: the Adjust form has no duration field at all (see AD-005).</t>
        </is>
      </c>
    </row>
    <row r="55" ht="105.6" customHeight="1">
      <c r="A55" s="13" t="inlineStr">
        <is>
          <t>HLA-AD-013</t>
        </is>
      </c>
      <c r="B55" s="14" t="inlineStr">
        <is>
          <t>Web – Adjust</t>
        </is>
      </c>
      <c r="C55" s="14" t="inlineStr">
        <is>
          <t>Adjust without note</t>
        </is>
      </c>
      <c r="D55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5" s="14" t="inlineStr">
        <is>
          <t>1. Change times; leave note empty.
2. Approve.</t>
        </is>
      </c>
      <c r="F55" s="14" t="inlineStr">
        <is>
          <t>-</t>
        </is>
      </c>
      <c r="G55" s="14" t="inlineStr">
        <is>
          <t>Behaviour per CL-20 (note optional or mandatory).</t>
        </is>
      </c>
      <c r="H55" s="13" t="inlineStr">
        <is>
          <t>P3</t>
        </is>
      </c>
      <c r="I55" s="13" t="inlineStr">
        <is>
          <t>Negative</t>
        </is>
      </c>
      <c r="J55" s="13" t="inlineStr">
        <is>
          <t>Web</t>
        </is>
      </c>
      <c r="K55" s="14" t="inlineStr">
        <is>
          <t>Mocks – Figure 8 / 9</t>
        </is>
      </c>
      <c r="L55" s="15" t="n"/>
      <c r="M55" s="16" t="inlineStr">
        <is>
          <t>Not Executed</t>
        </is>
      </c>
      <c r="N55" s="15" t="n"/>
      <c r="O55" s="17" t="n"/>
      <c r="P55" s="15" t="n"/>
      <c r="Q55" s="14" t="inlineStr">
        <is>
          <t>Automated: HLA-B06 (hour-log-decisions.spec.ts)</t>
        </is>
      </c>
    </row>
    <row r="56" ht="105.6" customHeight="1">
      <c r="A56" s="13" t="inlineStr">
        <is>
          <t>HLA-AD-014</t>
        </is>
      </c>
      <c r="B56" s="14" t="inlineStr">
        <is>
          <t>Web – Adjust</t>
        </is>
      </c>
      <c r="C56" s="14" t="inlineStr">
        <is>
          <t>Cancel Adjust</t>
        </is>
      </c>
      <c r="D56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6" s="14" t="inlineStr">
        <is>
          <t>1. Change values.
2. Click Cancel.</t>
        </is>
      </c>
      <c r="F56" s="14" t="inlineStr">
        <is>
          <t>-</t>
        </is>
      </c>
      <c r="G56" s="14" t="inlineStr">
        <is>
          <t>Panel closes; request still 'Needs review'; nothing changed.</t>
        </is>
      </c>
      <c r="H56" s="13" t="inlineStr">
        <is>
          <t>P2</t>
        </is>
      </c>
      <c r="I56" s="13" t="inlineStr">
        <is>
          <t>Negative</t>
        </is>
      </c>
      <c r="J56" s="13" t="inlineStr">
        <is>
          <t>Web</t>
        </is>
      </c>
      <c r="K56" s="14" t="inlineStr">
        <is>
          <t>Mocks – Figure 8 / 9</t>
        </is>
      </c>
      <c r="L56" s="15" t="n"/>
      <c r="M56" s="16" t="inlineStr">
        <is>
          <t>Not Executed</t>
        </is>
      </c>
      <c r="N56" s="15" t="n"/>
      <c r="O56" s="17" t="n"/>
      <c r="P56" s="15" t="n"/>
      <c r="Q56" s="14" t="inlineStr">
        <is>
          <t>Automated: HLA-B07 (hour-log-decisions.spec.ts)</t>
        </is>
      </c>
    </row>
    <row r="57" ht="105.6" customHeight="1">
      <c r="A57" s="13" t="inlineStr">
        <is>
          <t>HLA-AD-015</t>
        </is>
      </c>
      <c r="B57" s="14" t="inlineStr">
        <is>
          <t>Web – Adjust</t>
        </is>
      </c>
      <c r="C57" s="14" t="inlineStr">
        <is>
          <t>Adjust new entry request</t>
        </is>
      </c>
      <c r="D5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7" s="14" t="inlineStr">
        <is>
          <t>1. Adjust REQ-0008 to 1:30–4:30 PM.
2. Approve.</t>
        </is>
      </c>
      <c r="F57" s="14" t="inlineStr">
        <is>
          <t>-</t>
        </is>
      </c>
      <c r="G57" s="14" t="inlineStr">
        <is>
          <t>New entry created with adjusted values (3h 0m).</t>
        </is>
      </c>
      <c r="H57" s="13" t="inlineStr">
        <is>
          <t>P2</t>
        </is>
      </c>
      <c r="I57" s="13" t="inlineStr">
        <is>
          <t>Positive</t>
        </is>
      </c>
      <c r="J57" s="13" t="inlineStr">
        <is>
          <t>Web</t>
        </is>
      </c>
      <c r="K57" s="14" t="inlineStr">
        <is>
          <t>Mocks – Figure 8 / 9</t>
        </is>
      </c>
      <c r="L57" s="15" t="n"/>
      <c r="M57" s="16" t="inlineStr">
        <is>
          <t>Not Executed</t>
        </is>
      </c>
      <c r="N57" s="15" t="n"/>
      <c r="O57" s="17" t="n"/>
      <c r="P57" s="15" t="n"/>
      <c r="Q57" s="14" t="inlineStr">
        <is>
          <t>Automated: HLA-B05 (hour-log-decisions.spec.ts)</t>
        </is>
      </c>
    </row>
    <row r="58" ht="105.6" customHeight="1">
      <c r="A58" s="13" t="inlineStr">
        <is>
          <t>HLA-AD-016</t>
        </is>
      </c>
      <c r="B58" s="14" t="inlineStr">
        <is>
          <t>Web – Adjust</t>
        </is>
      </c>
      <c r="C58" s="14" t="inlineStr">
        <is>
          <t>Adjust field not possible</t>
        </is>
      </c>
      <c r="D58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8" s="14" t="inlineStr">
        <is>
          <t>1. Look for field selector in Adjust.</t>
        </is>
      </c>
      <c r="F58" s="14" t="inlineStr">
        <is>
          <t>-</t>
        </is>
      </c>
      <c r="G58" s="14" t="inlineStr">
        <is>
          <t>Field cannot be changed on web (confirm CL-17).</t>
        </is>
      </c>
      <c r="H58" s="13" t="inlineStr">
        <is>
          <t>P4</t>
        </is>
      </c>
      <c r="I58" s="13" t="inlineStr">
        <is>
          <t>UI</t>
        </is>
      </c>
      <c r="J58" s="13" t="inlineStr">
        <is>
          <t>Web</t>
        </is>
      </c>
      <c r="K58" s="14" t="inlineStr">
        <is>
          <t>Mocks – Figure 8 / 9</t>
        </is>
      </c>
      <c r="L58" s="15" t="n"/>
      <c r="M58" s="16" t="inlineStr">
        <is>
          <t>Not Executed</t>
        </is>
      </c>
      <c r="N58" s="15" t="n"/>
      <c r="O58" s="17" t="n"/>
      <c r="P58" s="15" t="n"/>
      <c r="Q58" s="14" t="inlineStr">
        <is>
          <t>Automated: HLA-B06 (hour-log-decisions.spec.ts)</t>
        </is>
      </c>
    </row>
    <row r="59" ht="105.6" customHeight="1">
      <c r="A59" s="13" t="inlineStr">
        <is>
          <t>HLA-RJ-001</t>
        </is>
      </c>
      <c r="B59" s="14" t="inlineStr">
        <is>
          <t>Web – Reject</t>
        </is>
      </c>
      <c r="C59" s="14" t="inlineStr">
        <is>
          <t>Open Reject panel</t>
        </is>
      </c>
      <c r="D59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59" s="14" t="inlineStr">
        <is>
          <t>1. Click Reject on REQ-0007.</t>
        </is>
      </c>
      <c r="F59" s="14" t="inlineStr">
        <is>
          <t>-</t>
        </is>
      </c>
      <c r="G59" s="14" t="inlineStr">
        <is>
          <t>'Reject this change', subtitle 'The app's 5h 36m stays as the spent hours.', reason input, 'Confirm reject', Cancel.</t>
        </is>
      </c>
      <c r="H59" s="13" t="inlineStr">
        <is>
          <t>P1</t>
        </is>
      </c>
      <c r="I59" s="13" t="inlineStr">
        <is>
          <t>UI</t>
        </is>
      </c>
      <c r="J59" s="13" t="inlineStr">
        <is>
          <t>Web</t>
        </is>
      </c>
      <c r="K59" s="14" t="inlineStr">
        <is>
          <t>Mocks – Figure 10</t>
        </is>
      </c>
      <c r="L59" s="15" t="n"/>
      <c r="M59" s="16" t="inlineStr">
        <is>
          <t>Not Executed</t>
        </is>
      </c>
      <c r="N59" s="15" t="n"/>
      <c r="O59" s="17" t="n"/>
      <c r="P59" s="15" t="n"/>
      <c r="Q59" s="14" t="inlineStr">
        <is>
          <t>Partial: HLA-B08 (hour-log-adjustment.spec.ts); HLA-B08 (hour-log-decisions.spec.ts)</t>
        </is>
      </c>
    </row>
    <row r="60" ht="105.6" customHeight="1">
      <c r="A60" s="13" t="inlineStr">
        <is>
          <t>HLA-RJ-002</t>
        </is>
      </c>
      <c r="B60" s="14" t="inlineStr">
        <is>
          <t>Web – Reject</t>
        </is>
      </c>
      <c r="C60" s="14" t="inlineStr">
        <is>
          <t>Confirm reject without reason</t>
        </is>
      </c>
      <c r="D60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60" s="14" t="inlineStr">
        <is>
          <t>1. Leave reason empty.
2. Confirm reject.</t>
        </is>
      </c>
      <c r="F60" s="14" t="inlineStr">
        <is>
          <t>-</t>
        </is>
      </c>
      <c r="G60" s="14" t="inlineStr">
        <is>
          <t>Blocked; reason mandatory (confirm message CL-19).</t>
        </is>
      </c>
      <c r="H60" s="13" t="inlineStr">
        <is>
          <t>P1</t>
        </is>
      </c>
      <c r="I60" s="13" t="inlineStr">
        <is>
          <t>Negative</t>
        </is>
      </c>
      <c r="J60" s="13" t="inlineStr">
        <is>
          <t>Web</t>
        </is>
      </c>
      <c r="K60" s="14" t="inlineStr">
        <is>
          <t>Data Dictionary – Rejection Reason</t>
        </is>
      </c>
      <c r="L60" s="15" t="n"/>
      <c r="M60" s="16" t="inlineStr">
        <is>
          <t>Not Executed</t>
        </is>
      </c>
      <c r="N60" s="15" t="n"/>
      <c r="O60" s="17" t="n"/>
      <c r="P60" s="15" t="n"/>
      <c r="Q60" s="14" t="inlineStr">
        <is>
          <t>Automated: HLA-B08 (hour-log-adjustment.spec.ts); HLA-B08 (hour-log-decisions.spec.ts)</t>
        </is>
      </c>
    </row>
    <row r="61" ht="105.6" customHeight="1">
      <c r="A61" s="13" t="inlineStr">
        <is>
          <t>HLA-RJ-003</t>
        </is>
      </c>
      <c r="B61" s="14" t="inlineStr">
        <is>
          <t>Web – Reject</t>
        </is>
      </c>
      <c r="C61" s="14" t="inlineStr">
        <is>
          <t>Reason with spaces only</t>
        </is>
      </c>
      <c r="D61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61" s="14" t="inlineStr">
        <is>
          <t>1. Enter spaces.
2. Confirm.</t>
        </is>
      </c>
      <c r="F61" s="14" t="inlineStr">
        <is>
          <t>-</t>
        </is>
      </c>
      <c r="G61" s="14" t="inlineStr">
        <is>
          <t>Blocked.</t>
        </is>
      </c>
      <c r="H61" s="13" t="inlineStr">
        <is>
          <t>P2</t>
        </is>
      </c>
      <c r="I61" s="13" t="inlineStr">
        <is>
          <t>Negative</t>
        </is>
      </c>
      <c r="J61" s="13" t="inlineStr">
        <is>
          <t>Web</t>
        </is>
      </c>
      <c r="K61" s="14" t="inlineStr">
        <is>
          <t>Mocks – Figure 10</t>
        </is>
      </c>
      <c r="L61" s="15" t="n"/>
      <c r="M61" s="16" t="inlineStr">
        <is>
          <t>Not Executed</t>
        </is>
      </c>
      <c r="N61" s="15" t="n"/>
      <c r="O61" s="17" t="n"/>
      <c r="P61" s="15" t="n"/>
      <c r="Q61" s="14" t="inlineStr">
        <is>
          <t>Automated: HLA-B08 (hour-log-decisions.spec.ts)</t>
        </is>
      </c>
    </row>
    <row r="62" ht="105.6" customHeight="1">
      <c r="A62" s="13" t="inlineStr">
        <is>
          <t>HLA-RJ-004</t>
        </is>
      </c>
      <c r="B62" s="14" t="inlineStr">
        <is>
          <t>Web – Reject</t>
        </is>
      </c>
      <c r="C62" s="14" t="inlineStr">
        <is>
          <t>Reject with reason</t>
        </is>
      </c>
      <c r="D62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62" s="14" t="inlineStr">
        <is>
          <t>1. Reason 'Yard time is not productive time on this work order.'
2. Confirm reject.</t>
        </is>
      </c>
      <c r="F62" s="14" t="inlineStr">
        <is>
          <t>-</t>
        </is>
      </c>
      <c r="G62" s="14" t="inlineStr">
        <is>
          <t>Status Rejected; final = original (6:12–11:48); Spent Hours unchanged (5h 36m).</t>
        </is>
      </c>
      <c r="H62" s="13" t="inlineStr">
        <is>
          <t>P1</t>
        </is>
      </c>
      <c r="I62" s="13" t="inlineStr">
        <is>
          <t>Positive</t>
        </is>
      </c>
      <c r="J62" s="13" t="inlineStr">
        <is>
          <t>Web</t>
        </is>
      </c>
      <c r="K62" s="14" t="inlineStr">
        <is>
          <t>Mocks – Figure 10</t>
        </is>
      </c>
      <c r="L62" s="15" t="n"/>
      <c r="M62" s="16" t="inlineStr">
        <is>
          <t>Not Executed</t>
        </is>
      </c>
      <c r="N62" s="15" t="n"/>
      <c r="O62" s="17" t="n"/>
      <c r="P62" s="15" t="n"/>
      <c r="Q62" s="14" t="inlineStr">
        <is>
          <t>Partial: HLA-B09 (hour-log-decisions.spec.ts)</t>
        </is>
      </c>
    </row>
    <row r="63" ht="105.6" customHeight="1">
      <c r="A63" s="13" t="inlineStr">
        <is>
          <t>HLA-RJ-005</t>
        </is>
      </c>
      <c r="B63" s="14" t="inlineStr">
        <is>
          <t>Web – Reject</t>
        </is>
      </c>
      <c r="C63" s="14" t="inlineStr">
        <is>
          <t>Reject new entry request</t>
        </is>
      </c>
      <c r="D63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63" s="14" t="inlineStr">
        <is>
          <t>1. Reject REQ-0008 with reason.</t>
        </is>
      </c>
      <c r="F63" s="14" t="inlineStr">
        <is>
          <t>-</t>
        </is>
      </c>
      <c r="G63" s="14" t="inlineStr">
        <is>
          <t>No entry added; Spent Hours unchanged; subtitle wording suitable for new entry (CL-21).</t>
        </is>
      </c>
      <c r="H63" s="13" t="inlineStr">
        <is>
          <t>P1</t>
        </is>
      </c>
      <c r="I63" s="13" t="inlineStr">
        <is>
          <t>Positive</t>
        </is>
      </c>
      <c r="J63" s="13" t="inlineStr">
        <is>
          <t>Web</t>
        </is>
      </c>
      <c r="K63" s="14" t="inlineStr">
        <is>
          <t>Mocks – Figure 10</t>
        </is>
      </c>
      <c r="L63" s="15" t="n"/>
      <c r="M63" s="16" t="inlineStr">
        <is>
          <t>Not Executed</t>
        </is>
      </c>
      <c r="N63" s="15" t="n"/>
      <c r="O63" s="17" t="n"/>
      <c r="P63" s="15" t="n"/>
      <c r="Q63" s="14" t="inlineStr">
        <is>
          <t>Automated: HLA-B09 (hour-log-decisions.spec.ts)</t>
        </is>
      </c>
    </row>
    <row r="64" ht="105.6" customHeight="1">
      <c r="A64" s="13" t="inlineStr">
        <is>
          <t>HLA-RJ-007</t>
        </is>
      </c>
      <c r="B64" s="14" t="inlineStr">
        <is>
          <t>Web – Reject</t>
        </is>
      </c>
      <c r="C64" s="14" t="inlineStr">
        <is>
          <t>Cancel Reject</t>
        </is>
      </c>
      <c r="D64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64" s="14" t="inlineStr">
        <is>
          <t>1. Enter reason.
2. Cancel.</t>
        </is>
      </c>
      <c r="F64" s="14" t="inlineStr">
        <is>
          <t>-</t>
        </is>
      </c>
      <c r="G64" s="14" t="inlineStr">
        <is>
          <t>Nothing changed; request still pending.</t>
        </is>
      </c>
      <c r="H64" s="13" t="inlineStr">
        <is>
          <t>P2</t>
        </is>
      </c>
      <c r="I64" s="13" t="inlineStr">
        <is>
          <t>Negative</t>
        </is>
      </c>
      <c r="J64" s="13" t="inlineStr">
        <is>
          <t>Web</t>
        </is>
      </c>
      <c r="K64" s="14" t="inlineStr">
        <is>
          <t>Mocks – Figure 10</t>
        </is>
      </c>
      <c r="L64" s="15" t="n"/>
      <c r="M64" s="16" t="inlineStr">
        <is>
          <t>Not Executed</t>
        </is>
      </c>
      <c r="N64" s="15" t="n"/>
      <c r="O64" s="17" t="n"/>
      <c r="P64" s="15" t="n"/>
      <c r="Q64" s="14" t="inlineStr">
        <is>
          <t>Automated: HLA-B08 (hour-log-decisions.spec.ts)</t>
        </is>
      </c>
    </row>
    <row r="65" ht="105.6" customHeight="1">
      <c r="A65" s="13" t="inlineStr">
        <is>
          <t>HLA-RJ-009</t>
        </is>
      </c>
      <c r="B65" s="14" t="inlineStr">
        <is>
          <t>Web – Reject</t>
        </is>
      </c>
      <c r="C65" s="14" t="inlineStr">
        <is>
          <t>Reject never triggers overlap prompt</t>
        </is>
      </c>
      <c r="D65" s="14" t="inlineStr">
        <is>
          <t>Rejected request overlapping another entry.</t>
        </is>
      </c>
      <c r="E65" s="14" t="inlineStr">
        <is>
          <t>1. Reject it.</t>
        </is>
      </c>
      <c r="F65" s="14" t="inlineStr">
        <is>
          <t>-</t>
        </is>
      </c>
      <c r="G65" s="14" t="inlineStr">
        <is>
          <t>No Create Adjustment prompt.</t>
        </is>
      </c>
      <c r="H65" s="13" t="inlineStr">
        <is>
          <t>P2</t>
        </is>
      </c>
      <c r="I65" s="13" t="inlineStr">
        <is>
          <t>Negative</t>
        </is>
      </c>
      <c r="J65" s="13" t="inlineStr">
        <is>
          <t>Web</t>
        </is>
      </c>
      <c r="K65" s="14" t="inlineStr">
        <is>
          <t>Overlap Validation</t>
        </is>
      </c>
      <c r="L65" s="15" t="n"/>
      <c r="M65" s="16" t="inlineStr">
        <is>
          <t>Not Executed</t>
        </is>
      </c>
      <c r="N65" s="15" t="n"/>
      <c r="O65" s="17" t="n"/>
      <c r="P65" s="15" t="n"/>
      <c r="Q65" s="14" t="inlineStr">
        <is>
          <t>Automated: HLA-RJ-009 (hour-log-decisions.spec.ts)</t>
        </is>
      </c>
    </row>
    <row r="66" ht="39.6" customHeight="1">
      <c r="A66" s="13" t="inlineStr">
        <is>
          <t>HLA-OV-001</t>
        </is>
      </c>
      <c r="B66" s="14" t="inlineStr">
        <is>
          <t>Overlap &amp; Redistribution (Web Only)</t>
        </is>
      </c>
      <c r="C66" s="14" t="inlineStr">
        <is>
          <t>Overlap prompt on approve – same resource &amp; machine</t>
        </is>
      </c>
      <c r="D66" s="14" t="inlineStr">
        <is>
          <t>Existing entry WO-533, Plot 108, AST-0121, 04/24 06:45–08:30. Pending request same resource, AST-0121, 06:00–07:30.</t>
        </is>
      </c>
      <c r="E66" s="14" t="inlineStr">
        <is>
          <t>1. Approve the request.</t>
        </is>
      </c>
      <c r="F66" s="14" t="inlineStr">
        <is>
          <t>-</t>
        </is>
      </c>
      <c r="G66" s="14" t="inlineStr">
        <is>
          <t>'Create Adjustment' prompt: 'The Selected Time Overlaps With Existing Job Time For The Same Resource And Machine', table (Work Order, Plot, Machine, Time), continue text, Cancel &amp; Continue.</t>
        </is>
      </c>
      <c r="H66" s="13" t="inlineStr">
        <is>
          <t>P1</t>
        </is>
      </c>
      <c r="I66" s="13" t="inlineStr">
        <is>
          <t>Positive</t>
        </is>
      </c>
      <c r="J66" s="13" t="inlineStr">
        <is>
          <t>Web</t>
        </is>
      </c>
      <c r="K66" s="14" t="inlineStr">
        <is>
          <t>Validation Rules – Overlap and Redistribution / Figure 11</t>
        </is>
      </c>
      <c r="L66" s="15" t="n"/>
      <c r="M66" s="16" t="inlineStr">
        <is>
          <t>Not Executed</t>
        </is>
      </c>
      <c r="N66" s="15" t="n"/>
      <c r="O66" s="17" t="n"/>
      <c r="P66" s="15" t="n"/>
      <c r="Q66" s="14" t="inlineStr">
        <is>
          <t>Partial: HLA-B11 + HLA-B12 (hour-log-decisions.spec.ts)</t>
        </is>
      </c>
    </row>
    <row r="67" ht="105.6" customHeight="1">
      <c r="A67" s="13" t="inlineStr">
        <is>
          <t>HLA-OV-002</t>
        </is>
      </c>
      <c r="B67" s="14" t="inlineStr">
        <is>
          <t>Overlap &amp; Redistribution (Web Only)</t>
        </is>
      </c>
      <c r="C67" s="14" t="inlineStr">
        <is>
          <t>All overlapping entries listed</t>
        </is>
      </c>
      <c r="D67" s="14" t="inlineStr">
        <is>
          <t>Request overlaps 2 existing entries.</t>
        </is>
      </c>
      <c r="E67" s="14" t="inlineStr">
        <is>
          <t>1. Approve.</t>
        </is>
      </c>
      <c r="F67" s="14" t="inlineStr">
        <is>
          <t>-</t>
        </is>
      </c>
      <c r="G67" s="14" t="inlineStr">
        <is>
          <t>Both entries listed with correct WO, plot, machines, time.</t>
        </is>
      </c>
      <c r="H67" s="13" t="inlineStr">
        <is>
          <t>P1</t>
        </is>
      </c>
      <c r="I67" s="13" t="inlineStr">
        <is>
          <t>Positive</t>
        </is>
      </c>
      <c r="J67" s="13" t="inlineStr">
        <is>
          <t>Web</t>
        </is>
      </c>
      <c r="K67" s="14" t="inlineStr">
        <is>
          <t>Validation Rules – Overlap and Redistribution / Figure 11</t>
        </is>
      </c>
      <c r="L67" s="15" t="n"/>
      <c r="M67" s="16" t="inlineStr">
        <is>
          <t>Not Executed</t>
        </is>
      </c>
      <c r="N67" s="15" t="n"/>
      <c r="O67" s="17" t="n"/>
      <c r="P67" s="15" t="n"/>
      <c r="Q67" s="14" t="inlineStr">
        <is>
          <t>Planned: one request overlapping two separate approved entries.</t>
        </is>
      </c>
    </row>
    <row r="68" ht="105.6" customHeight="1">
      <c r="A68" s="13" t="inlineStr">
        <is>
          <t>HLA-OV-003</t>
        </is>
      </c>
      <c r="B68" s="14" t="inlineStr">
        <is>
          <t>Overlap &amp; Redistribution (Web Only)</t>
        </is>
      </c>
      <c r="C68" s="14" t="inlineStr">
        <is>
          <t>Cancel on overlap prompt</t>
        </is>
      </c>
      <c r="D68" s="14" t="inlineStr">
        <is>
          <t>Overlap scenario.</t>
        </is>
      </c>
      <c r="E68" s="14" t="inlineStr">
        <is>
          <t>1. Approve → Cancel.</t>
        </is>
      </c>
      <c r="F68" s="14" t="inlineStr">
        <is>
          <t>-</t>
        </is>
      </c>
      <c r="G68" s="14" t="inlineStr">
        <is>
          <t>Nothing decided; request stays Needs review; no hours changed; no audit entry.</t>
        </is>
      </c>
      <c r="H68" s="13" t="inlineStr">
        <is>
          <t>P1</t>
        </is>
      </c>
      <c r="I68" s="13" t="inlineStr">
        <is>
          <t>Negative</t>
        </is>
      </c>
      <c r="J68" s="13" t="inlineStr">
        <is>
          <t>Web</t>
        </is>
      </c>
      <c r="K68" s="14" t="inlineStr">
        <is>
          <t>Validation Rules – Overlap and Redistribution / Figure 11</t>
        </is>
      </c>
      <c r="L68" s="15" t="n"/>
      <c r="M68" s="16" t="inlineStr">
        <is>
          <t>Not Executed</t>
        </is>
      </c>
      <c r="N68" s="15" t="n"/>
      <c r="O68" s="17" t="n"/>
      <c r="P68" s="15" t="n"/>
      <c r="Q68" s="14" t="inlineStr">
        <is>
          <t>Automated: HLA-B11 + HLA-B12 (hour-log-decisions.spec.ts)</t>
        </is>
      </c>
    </row>
    <row r="69" ht="105.6" customHeight="1">
      <c r="A69" s="13" t="inlineStr">
        <is>
          <t>HLA-OV-004</t>
        </is>
      </c>
      <c r="B69" s="14" t="inlineStr">
        <is>
          <t>Overlap &amp; Redistribution (Web Only)</t>
        </is>
      </c>
      <c r="C69" s="14" t="inlineStr">
        <is>
          <t>Continue redistributes hours</t>
        </is>
      </c>
      <c r="D69" s="14" t="inlineStr">
        <is>
          <t>Overlap scenario.</t>
        </is>
      </c>
      <c r="E69" s="14" t="inlineStr">
        <is>
          <t>1. Approve → Continue.
2. Check entries and Spent Hours.</t>
        </is>
      </c>
      <c r="F69" s="14" t="inlineStr">
        <is>
          <t>-</t>
        </is>
      </c>
      <c r="G69" s="14" t="inlineStr">
        <is>
          <t>Hours redistributed so the same time is not counted twice; spent hours correct; decision saved (confirm algorithm CL-02).</t>
        </is>
      </c>
      <c r="H69" s="13" t="inlineStr">
        <is>
          <t>P1</t>
        </is>
      </c>
      <c r="I69" s="13" t="inlineStr">
        <is>
          <t>Positive</t>
        </is>
      </c>
      <c r="J69" s="13" t="inlineStr">
        <is>
          <t>Web</t>
        </is>
      </c>
      <c r="K69" s="14" t="inlineStr">
        <is>
          <t>Validation Rules – Overlap and Redistribution / Figure 11</t>
        </is>
      </c>
      <c r="L69" s="15" t="n"/>
      <c r="M69" s="16" t="inlineStr">
        <is>
          <t>Not Executed</t>
        </is>
      </c>
      <c r="N69" s="15" t="n"/>
      <c r="O69" s="17" t="n"/>
      <c r="P69" s="15" t="n"/>
      <c r="Q69" s="14" t="inlineStr">
        <is>
          <t>Automated: HLA-B11 + HLA-B12 (hour-log-decisions.spec.ts)</t>
        </is>
      </c>
    </row>
    <row r="70" ht="105.6" customHeight="1">
      <c r="A70" s="13" t="inlineStr">
        <is>
          <t>HLA-OV-005</t>
        </is>
      </c>
      <c r="B70" s="14" t="inlineStr">
        <is>
          <t>Overlap &amp; Redistribution (Web Only)</t>
        </is>
      </c>
      <c r="C70" s="14" t="inlineStr">
        <is>
          <t>Overlap with entry on different work order</t>
        </is>
      </c>
      <c r="D70" s="14" t="inlineStr">
        <is>
          <t>Same resource &amp; machine entry on another WO.</t>
        </is>
      </c>
      <c r="E70" s="14" t="inlineStr">
        <is>
          <t>1. Approve.</t>
        </is>
      </c>
      <c r="F70" s="14" t="inlineStr">
        <is>
          <t>-</t>
        </is>
      </c>
      <c r="G70" s="14" t="inlineStr">
        <is>
          <t>Prompt lists the other WO entry.</t>
        </is>
      </c>
      <c r="H70" s="13" t="inlineStr">
        <is>
          <t>P2</t>
        </is>
      </c>
      <c r="I70" s="13" t="inlineStr">
        <is>
          <t>Positive</t>
        </is>
      </c>
      <c r="J70" s="13" t="inlineStr">
        <is>
          <t>Web</t>
        </is>
      </c>
      <c r="K70" s="14" t="inlineStr">
        <is>
          <t>Validation Rules – Overlap and Redistribution / Figure 11</t>
        </is>
      </c>
      <c r="L70" s="15" t="n"/>
      <c r="M70" s="16" t="inlineStr">
        <is>
          <t>Not Executed</t>
        </is>
      </c>
      <c r="N70" s="15" t="n"/>
      <c r="O70" s="17" t="n"/>
      <c r="P70" s="15" t="n"/>
      <c r="Q70" s="14" t="inlineStr">
        <is>
          <t>Planned: needs a second WO for the same operator.</t>
        </is>
      </c>
    </row>
    <row r="71" ht="118.8" customHeight="1">
      <c r="A71" s="13" t="inlineStr">
        <is>
          <t>HLA-OV-006</t>
        </is>
      </c>
      <c r="B71" s="14" t="inlineStr">
        <is>
          <t>Overlap &amp; Redistribution (Web Only)</t>
        </is>
      </c>
      <c r="C71" s="14" t="inlineStr">
        <is>
          <t>Same resource, different machine – no prompt</t>
        </is>
      </c>
      <c r="D71" s="14" t="inlineStr">
        <is>
          <t>Existing entry AST-0187; request AST-0121 same time.</t>
        </is>
      </c>
      <c r="E71" s="14" t="inlineStr">
        <is>
          <t>1. Approve.</t>
        </is>
      </c>
      <c r="F71" s="14" t="inlineStr">
        <is>
          <t>-</t>
        </is>
      </c>
      <c r="G71" s="14" t="inlineStr">
        <is>
          <t>No prompt; approved directly.</t>
        </is>
      </c>
      <c r="H71" s="13" t="inlineStr">
        <is>
          <t>P1</t>
        </is>
      </c>
      <c r="I71" s="13" t="inlineStr">
        <is>
          <t>Negative</t>
        </is>
      </c>
      <c r="J71" s="13" t="inlineStr">
        <is>
          <t>Web</t>
        </is>
      </c>
      <c r="K71" s="14" t="inlineStr">
        <is>
          <t>Validation Rules – Overlap and Redistribution / Figure 11</t>
        </is>
      </c>
      <c r="L71" s="15" t="n"/>
      <c r="M71" s="16" t="inlineStr">
        <is>
          <t>Not Executed</t>
        </is>
      </c>
      <c r="N71" s="15" t="n"/>
      <c r="O71" s="17" t="n"/>
      <c r="P71" s="15" t="n"/>
      <c r="Q71" s="14" t="inlineStr">
        <is>
          <t>Automated (expected failure: fails on QA today, see FINDINGS #45): HLA-B13 (hour-log-decisions.spec.ts)</t>
        </is>
      </c>
    </row>
    <row r="72" ht="39.6" customHeight="1">
      <c r="A72" s="13" t="inlineStr">
        <is>
          <t>HLA-OV-007</t>
        </is>
      </c>
      <c r="B72" s="14" t="inlineStr">
        <is>
          <t>Overlap &amp; Redistribution (Web Only)</t>
        </is>
      </c>
      <c r="C72" s="14" t="inlineStr">
        <is>
          <t>Same machine, different resource – no prompt</t>
        </is>
      </c>
      <c r="D72" s="14" t="inlineStr">
        <is>
          <t>Other operator used AST-0121 same time.</t>
        </is>
      </c>
      <c r="E72" s="14" t="inlineStr">
        <is>
          <t>1. Approve.</t>
        </is>
      </c>
      <c r="F72" s="14" t="inlineStr">
        <is>
          <t>-</t>
        </is>
      </c>
      <c r="G72" s="14" t="inlineStr">
        <is>
          <t>No prompt; other resource's entry untouched.</t>
        </is>
      </c>
      <c r="H72" s="13" t="inlineStr">
        <is>
          <t>P1</t>
        </is>
      </c>
      <c r="I72" s="13" t="inlineStr">
        <is>
          <t>Negative</t>
        </is>
      </c>
      <c r="J72" s="13" t="inlineStr">
        <is>
          <t>Web</t>
        </is>
      </c>
      <c r="K72" s="14" t="inlineStr">
        <is>
          <t>Validation Rules – Overlap and Redistribution / Figure 11 / Per Resource Application</t>
        </is>
      </c>
      <c r="L72" s="15" t="n"/>
      <c r="M72" s="16" t="inlineStr">
        <is>
          <t>Not Executed</t>
        </is>
      </c>
      <c r="N72" s="15" t="n"/>
      <c r="O72" s="17" t="n"/>
      <c r="P72" s="15" t="n"/>
      <c r="Q72" s="14" t="inlineStr">
        <is>
          <t>Not automated: needs a second operator on the same machine.</t>
        </is>
      </c>
    </row>
    <row r="73" ht="105.6" customHeight="1">
      <c r="A73" s="13" t="inlineStr">
        <is>
          <t>HLA-OV-008</t>
        </is>
      </c>
      <c r="B73" s="14" t="inlineStr">
        <is>
          <t>Overlap &amp; Redistribution (Web Only)</t>
        </is>
      </c>
      <c r="C73" s="14" t="inlineStr">
        <is>
          <t>Partial machine share triggers prompt</t>
        </is>
      </c>
      <c r="D73" s="14" t="inlineStr">
        <is>
          <t>Request machines AST-0121+AST-0203; existing entry AST-0203 only.</t>
        </is>
      </c>
      <c r="E73" s="14" t="inlineStr">
        <is>
          <t>1. Approve.</t>
        </is>
      </c>
      <c r="F73" s="14" t="inlineStr">
        <is>
          <t>-</t>
        </is>
      </c>
      <c r="G73" s="14" t="inlineStr">
        <is>
          <t>Prompt shown (shares one machine).</t>
        </is>
      </c>
      <c r="H73" s="13" t="inlineStr">
        <is>
          <t>P2</t>
        </is>
      </c>
      <c r="I73" s="13" t="inlineStr">
        <is>
          <t>Positive</t>
        </is>
      </c>
      <c r="J73" s="13" t="inlineStr">
        <is>
          <t>Web</t>
        </is>
      </c>
      <c r="K73" s="14" t="inlineStr">
        <is>
          <t>Validation Rules – Overlap and Redistribution / Figure 11</t>
        </is>
      </c>
      <c r="L73" s="15" t="n"/>
      <c r="M73" s="16" t="inlineStr">
        <is>
          <t>Not Executed</t>
        </is>
      </c>
      <c r="N73" s="15" t="n"/>
      <c r="O73" s="17" t="n"/>
      <c r="P73" s="15" t="n"/>
      <c r="Q73" s="14" t="inlineStr">
        <is>
          <t>Automated: HLA-B11 + HLA-B12 (hour-log-decisions.spec.ts)</t>
        </is>
      </c>
    </row>
    <row r="74" ht="105.6" customHeight="1">
      <c r="A74" s="13" t="inlineStr">
        <is>
          <t>HLA-OV-009</t>
        </is>
      </c>
      <c r="B74" s="14" t="inlineStr">
        <is>
          <t>Overlap &amp; Redistribution (Web Only)</t>
        </is>
      </c>
      <c r="C74" s="14" t="inlineStr">
        <is>
          <t>Adjacent times – no overlap</t>
        </is>
      </c>
      <c r="D74" s="14" t="inlineStr">
        <is>
          <t>Existing 06:45–08:30; request 08:30–10:00 same machine.</t>
        </is>
      </c>
      <c r="E74" s="14" t="inlineStr">
        <is>
          <t>1. Approve.</t>
        </is>
      </c>
      <c r="F74" s="14" t="inlineStr">
        <is>
          <t>-</t>
        </is>
      </c>
      <c r="G74" s="14" t="inlineStr">
        <is>
          <t>No prompt (touching boundary is not overlap).</t>
        </is>
      </c>
      <c r="H74" s="13" t="inlineStr">
        <is>
          <t>P2</t>
        </is>
      </c>
      <c r="I74" s="13" t="inlineStr">
        <is>
          <t>Boundary</t>
        </is>
      </c>
      <c r="J74" s="13" t="inlineStr">
        <is>
          <t>Web</t>
        </is>
      </c>
      <c r="K74" s="14" t="inlineStr">
        <is>
          <t>Validation Rules – Overlap and Redistribution / Figure 11</t>
        </is>
      </c>
      <c r="L74" s="15" t="n"/>
      <c r="M74" s="16" t="inlineStr">
        <is>
          <t>Not Executed</t>
        </is>
      </c>
      <c r="N74" s="15" t="n"/>
      <c r="O74" s="17" t="n"/>
      <c r="P74" s="15" t="n"/>
      <c r="Q74" s="14" t="inlineStr">
        <is>
          <t>Automated: HLA-B05 (hour-log-decisions.spec.ts)</t>
        </is>
      </c>
    </row>
    <row r="75" ht="26.4" customHeight="1">
      <c r="A75" s="13" t="inlineStr">
        <is>
          <t>HLA-OV-010</t>
        </is>
      </c>
      <c r="B75" s="14" t="inlineStr">
        <is>
          <t>Overlap &amp; Redistribution (Web Only)</t>
        </is>
      </c>
      <c r="C75" s="14" t="inlineStr">
        <is>
          <t>One-minute overlap</t>
        </is>
      </c>
      <c r="D75" s="14" t="inlineStr">
        <is>
          <t>Existing 06:45–08:30; request 08:29–10:00.</t>
        </is>
      </c>
      <c r="E75" s="14" t="inlineStr">
        <is>
          <t>1. Approve.</t>
        </is>
      </c>
      <c r="F75" s="14" t="inlineStr">
        <is>
          <t>-</t>
        </is>
      </c>
      <c r="G75" s="14" t="inlineStr">
        <is>
          <t>Prompt shown.</t>
        </is>
      </c>
      <c r="H75" s="13" t="inlineStr">
        <is>
          <t>P2</t>
        </is>
      </c>
      <c r="I75" s="13" t="inlineStr">
        <is>
          <t>Boundary</t>
        </is>
      </c>
      <c r="J75" s="13" t="inlineStr">
        <is>
          <t>Web</t>
        </is>
      </c>
      <c r="K75" s="14" t="inlineStr">
        <is>
          <t>Validation Rules – Overlap and Redistribution / Figure 11</t>
        </is>
      </c>
      <c r="L75" s="15" t="n"/>
      <c r="M75" s="16" t="inlineStr">
        <is>
          <t>Not Executed</t>
        </is>
      </c>
      <c r="N75" s="15" t="n"/>
      <c r="O75" s="17" t="n"/>
      <c r="P75" s="15" t="n"/>
      <c r="Q75" s="14" t="inlineStr">
        <is>
          <t>Automated: HLA-OV-012 (hour-log-decisions.spec.ts)</t>
        </is>
      </c>
    </row>
    <row r="76" ht="105.6" customHeight="1">
      <c r="A76" s="13" t="inlineStr">
        <is>
          <t>HLA-OV-011</t>
        </is>
      </c>
      <c r="B76" s="14" t="inlineStr">
        <is>
          <t>Overlap &amp; Redistribution (Web Only)</t>
        </is>
      </c>
      <c r="C76" s="14" t="inlineStr">
        <is>
          <t>Fully contained overlap</t>
        </is>
      </c>
      <c r="D76" s="14" t="inlineStr">
        <is>
          <t>Existing 06:00–12:00; request 07:00–08:00.</t>
        </is>
      </c>
      <c r="E76" s="14" t="inlineStr">
        <is>
          <t>1. Approve → Continue.</t>
        </is>
      </c>
      <c r="F76" s="14" t="inlineStr">
        <is>
          <t>-</t>
        </is>
      </c>
      <c r="G76" s="14" t="inlineStr">
        <is>
          <t>Prompt shown; redistribution leaves no double counting.</t>
        </is>
      </c>
      <c r="H76" s="13" t="inlineStr">
        <is>
          <t>P2</t>
        </is>
      </c>
      <c r="I76" s="13" t="inlineStr">
        <is>
          <t>Boundary</t>
        </is>
      </c>
      <c r="J76" s="13" t="inlineStr">
        <is>
          <t>Web</t>
        </is>
      </c>
      <c r="K76" s="14" t="inlineStr">
        <is>
          <t>Validation Rules – Overlap and Redistribution / Figure 11</t>
        </is>
      </c>
      <c r="L76" s="15" t="n"/>
      <c r="M76" s="16" t="inlineStr">
        <is>
          <t>Not Executed</t>
        </is>
      </c>
      <c r="N76" s="15" t="n"/>
      <c r="O76" s="17" t="n"/>
      <c r="P76" s="15" t="n"/>
      <c r="Q76" s="14" t="inlineStr">
        <is>
          <t>Planned: fully contained overlap.</t>
        </is>
      </c>
    </row>
    <row r="77" ht="105.6" customHeight="1">
      <c r="A77" s="13" t="inlineStr">
        <is>
          <t>HLA-OV-012</t>
        </is>
      </c>
      <c r="B77" s="14" t="inlineStr">
        <is>
          <t>Overlap &amp; Redistribution (Web Only)</t>
        </is>
      </c>
      <c r="C77" s="14" t="inlineStr">
        <is>
          <t>Overlap check on Adjust</t>
        </is>
      </c>
      <c r="D77" s="14" t="inlineStr">
        <is>
          <t>Hour Log Adjustment feature ENABLED. Farm Manager 'David Luke' logged in on Farm Web App. WO-000005 has pending requests REQ-0007 (edit, logged 6:12 AM–11:48 AM, requested 5:45 AM–12:30 PM) and REQ-0008 (new entry, 1:05 PM–4:40 PM) raised by Carston Gunter (000182). Drawer for Carston Gunter is open.</t>
        </is>
      </c>
      <c r="E77" s="14" t="inlineStr">
        <is>
          <t>1. Adjust times to overlap an existing entry.
2. Approve.</t>
        </is>
      </c>
      <c r="F77" s="14" t="inlineStr">
        <is>
          <t>-</t>
        </is>
      </c>
      <c r="G77" s="14" t="inlineStr">
        <is>
          <t>Prompt shown using adjusted time.</t>
        </is>
      </c>
      <c r="H77" s="13" t="inlineStr">
        <is>
          <t>P1</t>
        </is>
      </c>
      <c r="I77" s="13" t="inlineStr">
        <is>
          <t>Positive</t>
        </is>
      </c>
      <c r="J77" s="13" t="inlineStr">
        <is>
          <t>Web</t>
        </is>
      </c>
      <c r="K77" s="14" t="inlineStr">
        <is>
          <t>Validation Rules – Overlap and Redistribution / Figure 11</t>
        </is>
      </c>
      <c r="L77" s="15" t="n"/>
      <c r="M77" s="16" t="inlineStr">
        <is>
          <t>Not Executed</t>
        </is>
      </c>
      <c r="N77" s="15" t="n"/>
      <c r="O77" s="17" t="n"/>
      <c r="P77" s="15" t="n"/>
      <c r="Q77" s="14" t="inlineStr">
        <is>
          <t>Automated: HLA-OV-012 (hour-log-decisions.spec.ts)</t>
        </is>
      </c>
    </row>
    <row r="78" ht="105.6" customHeight="1">
      <c r="A78" s="13" t="inlineStr">
        <is>
          <t>HLA-OV-013</t>
        </is>
      </c>
      <c r="B78" s="14" t="inlineStr">
        <is>
          <t>Overlap &amp; Redistribution (Web Only)</t>
        </is>
      </c>
      <c r="C78" s="14" t="inlineStr">
        <is>
          <t>Adjust machine to avoid overlap</t>
        </is>
      </c>
      <c r="D78" s="14" t="inlineStr">
        <is>
          <t>Overlap scenario.</t>
        </is>
      </c>
      <c r="E78" s="14" t="inlineStr">
        <is>
          <t>1. Adjust: change machine to non-overlapping one.
2. Approve.</t>
        </is>
      </c>
      <c r="F78" s="14" t="inlineStr">
        <is>
          <t>-</t>
        </is>
      </c>
      <c r="G78" s="14" t="inlineStr">
        <is>
          <t>No prompt.</t>
        </is>
      </c>
      <c r="H78" s="13" t="inlineStr">
        <is>
          <t>P3</t>
        </is>
      </c>
      <c r="I78" s="13" t="inlineStr">
        <is>
          <t>Positive</t>
        </is>
      </c>
      <c r="J78" s="13" t="inlineStr">
        <is>
          <t>Web</t>
        </is>
      </c>
      <c r="K78" s="14" t="inlineStr">
        <is>
          <t>Validation Rules – Overlap and Redistribution / Figure 11</t>
        </is>
      </c>
      <c r="L78" s="15" t="n"/>
      <c r="M78" s="16" t="inlineStr">
        <is>
          <t>Not Executed</t>
        </is>
      </c>
      <c r="N78" s="15" t="n"/>
      <c r="O78" s="17" t="n"/>
      <c r="P78" s="15" t="n"/>
      <c r="Q78" s="14" t="inlineStr">
        <is>
          <t>Blocked by FINDINGS #45: any overlap on the same operator prompts, whatever the machine.</t>
        </is>
      </c>
    </row>
    <row r="79" ht="105.6" customHeight="1">
      <c r="A79" s="13" t="inlineStr">
        <is>
          <t>HLA-OV-014</t>
        </is>
      </c>
      <c r="B79" s="14" t="inlineStr">
        <is>
          <t>Overlap &amp; Redistribution (Web Only)</t>
        </is>
      </c>
      <c r="C79" s="14" t="inlineStr">
        <is>
          <t>Request's own original entry not treated as overlap</t>
        </is>
      </c>
      <c r="D79" s="14" t="inlineStr">
        <is>
          <t>Edit request extending its own entry.</t>
        </is>
      </c>
      <c r="E79" s="14" t="inlineStr">
        <is>
          <t>1. Approve REQ-0007.</t>
        </is>
      </c>
      <c r="F79" s="14" t="inlineStr">
        <is>
          <t>-</t>
        </is>
      </c>
      <c r="G79" s="14" t="inlineStr">
        <is>
          <t>No prompt caused by the entry being changed.</t>
        </is>
      </c>
      <c r="H79" s="13" t="inlineStr">
        <is>
          <t>P1</t>
        </is>
      </c>
      <c r="I79" s="13" t="inlineStr">
        <is>
          <t>Negative</t>
        </is>
      </c>
      <c r="J79" s="13" t="inlineStr">
        <is>
          <t>Web</t>
        </is>
      </c>
      <c r="K79" s="14" t="inlineStr">
        <is>
          <t>Validation Rules – Overlap and Redistribution / Figure 11</t>
        </is>
      </c>
      <c r="L79" s="15" t="n"/>
      <c r="M79" s="16" t="inlineStr">
        <is>
          <t>Not Executed</t>
        </is>
      </c>
      <c r="N79" s="15" t="n"/>
      <c r="O79" s="17" t="n"/>
      <c r="P79" s="15" t="n"/>
      <c r="Q79" s="14" t="inlineStr">
        <is>
          <t>Not reachable: needs a change to an existing entry (see WD-003).</t>
        </is>
      </c>
    </row>
    <row r="80" ht="105.6" customHeight="1">
      <c r="A80" s="13" t="inlineStr">
        <is>
          <t>HLA-OV-015</t>
        </is>
      </c>
      <c r="B80" s="14" t="inlineStr">
        <is>
          <t>Overlap &amp; Redistribution (Web Only)</t>
        </is>
      </c>
      <c r="C80" s="14" t="inlineStr">
        <is>
          <t>Other pending requests not treated as existing entries</t>
        </is>
      </c>
      <c r="D80" s="14" t="inlineStr">
        <is>
          <t>Two pending overlapping requests.</t>
        </is>
      </c>
      <c r="E80" s="14" t="inlineStr">
        <is>
          <t>1. Approve the first.</t>
        </is>
      </c>
      <c r="F80" s="14" t="inlineStr">
        <is>
          <t>-</t>
        </is>
      </c>
      <c r="G80" s="14" t="inlineStr">
        <is>
          <t>No prompt (only approved entries checked); second will prompt when decided.</t>
        </is>
      </c>
      <c r="H80" s="13" t="inlineStr">
        <is>
          <t>P2</t>
        </is>
      </c>
      <c r="I80" s="13" t="inlineStr">
        <is>
          <t>Negative</t>
        </is>
      </c>
      <c r="J80" s="13" t="inlineStr">
        <is>
          <t>Web</t>
        </is>
      </c>
      <c r="K80" s="14" t="inlineStr">
        <is>
          <t>Validation Rules – Overlap and Redistribution / Figure 11</t>
        </is>
      </c>
      <c r="L80" s="15" t="n"/>
      <c r="M80" s="16" t="inlineStr">
        <is>
          <t>Not Executed</t>
        </is>
      </c>
      <c r="N80" s="15" t="n"/>
      <c r="O80" s="17" t="n"/>
      <c r="P80" s="15" t="n"/>
      <c r="Q80" s="14" t="inlineStr">
        <is>
          <t>Automated: HLA-B04 (hour-log-decisions.spec.ts)</t>
        </is>
      </c>
    </row>
    <row r="81" ht="105.6" customHeight="1">
      <c r="A81" s="13" t="inlineStr">
        <is>
          <t>HLA-OV-017</t>
        </is>
      </c>
      <c r="B81" s="14" t="inlineStr">
        <is>
          <t>Overlap &amp; Redistribution (Web Only)</t>
        </is>
      </c>
      <c r="C81" s="14" t="inlineStr">
        <is>
          <t>Redistribution Applied flag in audit</t>
        </is>
      </c>
      <c r="D81" s="14" t="inlineStr">
        <is>
          <t>Decisions with and without redistribution.</t>
        </is>
      </c>
      <c r="E81" s="14" t="inlineStr">
        <is>
          <t>1. Check audit log.</t>
        </is>
      </c>
      <c r="F81" s="14" t="inlineStr">
        <is>
          <t>-</t>
        </is>
      </c>
      <c r="G81" s="14" t="inlineStr">
        <is>
          <t>True when Continue used; False otherwise.</t>
        </is>
      </c>
      <c r="H81" s="13" t="inlineStr">
        <is>
          <t>P2</t>
        </is>
      </c>
      <c r="I81" s="13" t="inlineStr">
        <is>
          <t>Positive</t>
        </is>
      </c>
      <c r="J81" s="13" t="inlineStr">
        <is>
          <t>Web</t>
        </is>
      </c>
      <c r="K81" s="14" t="inlineStr">
        <is>
          <t>Data Dictionary</t>
        </is>
      </c>
      <c r="L81" s="15" t="n"/>
      <c r="M81" s="16" t="inlineStr">
        <is>
          <t>Not Executed</t>
        </is>
      </c>
      <c r="N81" s="15" t="n"/>
      <c r="O81" s="17" t="n"/>
      <c r="P81" s="15" t="n"/>
      <c r="Q81" s="14" t="inlineStr">
        <is>
          <t>Automated: HLA-B11 + HLA-B12 (hour-log-decisions.spec.ts)</t>
        </is>
      </c>
    </row>
    <row r="82" ht="105.6" customHeight="1">
      <c r="A82" s="13" t="inlineStr">
        <is>
          <t>HLA-PR-001</t>
        </is>
      </c>
      <c r="B82" s="14" t="inlineStr">
        <is>
          <t>Per-Resource Application</t>
        </is>
      </c>
      <c r="C82" s="14" t="inlineStr">
        <is>
          <t>Decision affects only raising resource</t>
        </is>
      </c>
      <c r="D82" s="14" t="inlineStr">
        <is>
          <t>Two operators on WO-000005.</t>
        </is>
      </c>
      <c r="E82" s="14" t="inlineStr">
        <is>
          <t>1. Approve Carston's request.
2. Check other resource.</t>
        </is>
      </c>
      <c r="F82" s="14" t="inlineStr">
        <is>
          <t>-</t>
        </is>
      </c>
      <c r="G82" s="14" t="inlineStr">
        <is>
          <t>Other resource's entries and Spent Hours unchanged.</t>
        </is>
      </c>
      <c r="H82" s="13" t="inlineStr">
        <is>
          <t>P1</t>
        </is>
      </c>
      <c r="I82" s="13" t="inlineStr">
        <is>
          <t>Negative</t>
        </is>
      </c>
      <c r="J82" s="13" t="inlineStr">
        <is>
          <t>Web</t>
        </is>
      </c>
      <c r="K82" s="14" t="inlineStr">
        <is>
          <t>Validation Rules – Per Resource Application Validation</t>
        </is>
      </c>
      <c r="L82" s="15" t="n"/>
      <c r="M82" s="16" t="inlineStr">
        <is>
          <t>Not Executed</t>
        </is>
      </c>
      <c r="N82" s="15" t="n"/>
      <c r="O82" s="17" t="n"/>
      <c r="P82" s="15" t="n"/>
      <c r="Q82" s="14" t="inlineStr">
        <is>
          <t>Automated: HLA-B04 (hour-log-decisions.spec.ts)</t>
        </is>
      </c>
    </row>
    <row r="83" ht="105.6" customHeight="1">
      <c r="A83" s="13" t="inlineStr">
        <is>
          <t>HLA-PR-002</t>
        </is>
      </c>
      <c r="B83" s="14" t="inlineStr">
        <is>
          <t>Per-Resource Application</t>
        </is>
      </c>
      <c r="C83" s="14" t="inlineStr">
        <is>
          <t>Redistribution only touches same resource</t>
        </is>
      </c>
      <c r="D83" s="14" t="inlineStr">
        <is>
          <t>Overlap scenario with other resource sharing machine.</t>
        </is>
      </c>
      <c r="E83" s="14" t="inlineStr">
        <is>
          <t>1. Approve → Continue.</t>
        </is>
      </c>
      <c r="F83" s="14" t="inlineStr">
        <is>
          <t>-</t>
        </is>
      </c>
      <c r="G83" s="14" t="inlineStr">
        <is>
          <t>No entry of another resource created/changed/deleted.</t>
        </is>
      </c>
      <c r="H83" s="13" t="inlineStr">
        <is>
          <t>P1</t>
        </is>
      </c>
      <c r="I83" s="13" t="inlineStr">
        <is>
          <t>Negative</t>
        </is>
      </c>
      <c r="J83" s="13" t="inlineStr">
        <is>
          <t>Web</t>
        </is>
      </c>
      <c r="K83" s="14" t="inlineStr">
        <is>
          <t>Validation Rules – Per Resource Application Validation</t>
        </is>
      </c>
      <c r="L83" s="15" t="n"/>
      <c r="M83" s="16" t="inlineStr">
        <is>
          <t>Not Executed</t>
        </is>
      </c>
      <c r="N83" s="15" t="n"/>
      <c r="O83" s="17" t="n"/>
      <c r="P83" s="15" t="n"/>
      <c r="Q83" s="14" t="inlineStr">
        <is>
          <t>Automated: HLA-B11 + HLA-B12 (hour-log-decisions.spec.ts)</t>
        </is>
      </c>
    </row>
    <row r="84" ht="105.6" customHeight="1">
      <c r="A84" s="13" t="inlineStr">
        <is>
          <t>HLA-NT-004</t>
        </is>
      </c>
      <c r="B84" s="14" t="inlineStr">
        <is>
          <t>Notifications</t>
        </is>
      </c>
      <c r="C84" s="14" t="inlineStr">
        <is>
          <t>Notification navigation</t>
        </is>
      </c>
      <c r="D84" s="14" t="inlineStr">
        <is>
          <t>Notification received.</t>
        </is>
      </c>
      <c r="E84" s="14" t="inlineStr">
        <is>
          <t>1. Click notification.</t>
        </is>
      </c>
      <c r="F84" s="14" t="inlineStr">
        <is>
          <t>-</t>
        </is>
      </c>
      <c r="G84" s="14" t="inlineStr">
        <is>
          <t>Opens WO / drawer of the request (confirm CL-22).</t>
        </is>
      </c>
      <c r="H84" s="13" t="inlineStr">
        <is>
          <t>P3</t>
        </is>
      </c>
      <c r="I84" s="13" t="inlineStr">
        <is>
          <t>Positive</t>
        </is>
      </c>
      <c r="J84" s="13" t="inlineStr">
        <is>
          <t>Web</t>
        </is>
      </c>
      <c r="K84" s="14" t="inlineStr">
        <is>
          <t>Audit Log on Approve and Reject (notification)</t>
        </is>
      </c>
      <c r="L84" s="15" t="n"/>
      <c r="M84" s="16" t="inlineStr">
        <is>
          <t>Not Executed</t>
        </is>
      </c>
      <c r="N84" s="15" t="n"/>
      <c r="O84" s="17" t="n"/>
      <c r="P84" s="15" t="n"/>
      <c r="Q84" s="14" t="inlineStr">
        <is>
          <t>Planned: the manager notification has not been located on web yet.</t>
        </is>
      </c>
    </row>
    <row r="85" ht="105.6" customHeight="1">
      <c r="A85" s="13" t="inlineStr">
        <is>
          <t>HLA-AU-001</t>
        </is>
      </c>
      <c r="B85" s="14" t="inlineStr">
        <is>
          <t>Audit Log</t>
        </is>
      </c>
      <c r="C85" s="14" t="inlineStr">
        <is>
          <t>Audit on Approve</t>
        </is>
      </c>
      <c r="D85" s="14" t="inlineStr">
        <is>
          <t>REQ-0007 approved.</t>
        </is>
      </c>
      <c r="E85" s="14" t="inlineStr">
        <is>
          <t>1. Open audit log for WO.</t>
        </is>
      </c>
      <c r="F85" s="14" t="inlineStr">
        <is>
          <t>-</t>
        </is>
      </c>
      <c r="G85" s="14" t="inlineStr">
        <is>
          <t>Entry holds original, requested and decided hours, assets, operator reason, status Approved, Decided By/At.</t>
        </is>
      </c>
      <c r="H85" s="13" t="inlineStr">
        <is>
          <t>P1</t>
        </is>
      </c>
      <c r="I85" s="13" t="inlineStr">
        <is>
          <t>Positive</t>
        </is>
      </c>
      <c r="J85" s="13" t="inlineStr">
        <is>
          <t>Web</t>
        </is>
      </c>
      <c r="K85" s="14" t="inlineStr">
        <is>
          <t>Audit Log on Approve and Reject / Data Dictionary</t>
        </is>
      </c>
      <c r="L85" s="15" t="n"/>
      <c r="M85" s="16" t="inlineStr">
        <is>
          <t>Not Executed</t>
        </is>
      </c>
      <c r="N85" s="15" t="n"/>
      <c r="O85" s="17" t="n"/>
      <c r="P85" s="15" t="n"/>
      <c r="Q85" s="14" t="inlineStr">
        <is>
          <t>Automated: HLA-C03 (hour-log-decisions.spec.ts)</t>
        </is>
      </c>
    </row>
    <row r="86" ht="105.6" customHeight="1">
      <c r="A86" s="13" t="inlineStr">
        <is>
          <t>HLA-AU-002</t>
        </is>
      </c>
      <c r="B86" s="14" t="inlineStr">
        <is>
          <t>Audit Log</t>
        </is>
      </c>
      <c r="C86" s="14" t="inlineStr">
        <is>
          <t>Audit on Adjust</t>
        </is>
      </c>
      <c r="D86" s="14" t="inlineStr">
        <is>
          <t>Adjusted decision.</t>
        </is>
      </c>
      <c r="E86" s="14" t="inlineStr">
        <is>
          <t>1. Open audit log.</t>
        </is>
      </c>
      <c r="F86" s="14" t="inlineStr">
        <is>
          <t>-</t>
        </is>
      </c>
      <c r="G86" s="14" t="inlineStr">
        <is>
          <t>Includes adjusted times, adjusted assets and manager note.</t>
        </is>
      </c>
      <c r="H86" s="13" t="inlineStr">
        <is>
          <t>P1</t>
        </is>
      </c>
      <c r="I86" s="13" t="inlineStr">
        <is>
          <t>Positive</t>
        </is>
      </c>
      <c r="J86" s="13" t="inlineStr">
        <is>
          <t>Web</t>
        </is>
      </c>
      <c r="K86" s="14" t="inlineStr">
        <is>
          <t>Audit Log on Approve and Reject / Data Dictionary</t>
        </is>
      </c>
      <c r="L86" s="15" t="n"/>
      <c r="M86" s="16" t="inlineStr">
        <is>
          <t>Not Executed</t>
        </is>
      </c>
      <c r="N86" s="15" t="n"/>
      <c r="O86" s="17" t="n"/>
      <c r="P86" s="15" t="n"/>
      <c r="Q86" s="14" t="inlineStr">
        <is>
          <t>Automated: HLA-C03 (hour-log-decisions.spec.ts)</t>
        </is>
      </c>
    </row>
    <row r="87" ht="105.6" customHeight="1">
      <c r="A87" s="13" t="inlineStr">
        <is>
          <t>HLA-AU-003</t>
        </is>
      </c>
      <c r="B87" s="14" t="inlineStr">
        <is>
          <t>Audit Log</t>
        </is>
      </c>
      <c r="C87" s="14" t="inlineStr">
        <is>
          <t>Audit on Reject</t>
        </is>
      </c>
      <c r="D87" s="14" t="inlineStr">
        <is>
          <t>Rejected decision.</t>
        </is>
      </c>
      <c r="E87" s="14" t="inlineStr">
        <is>
          <t>1. Open audit log.</t>
        </is>
      </c>
      <c r="F87" s="14" t="inlineStr">
        <is>
          <t>-</t>
        </is>
      </c>
      <c r="G87" s="14" t="inlineStr">
        <is>
          <t>Includes rejection reason; status Rejected.</t>
        </is>
      </c>
      <c r="H87" s="13" t="inlineStr">
        <is>
          <t>P1</t>
        </is>
      </c>
      <c r="I87" s="13" t="inlineStr">
        <is>
          <t>Positive</t>
        </is>
      </c>
      <c r="J87" s="13" t="inlineStr">
        <is>
          <t>Web</t>
        </is>
      </c>
      <c r="K87" s="14" t="inlineStr">
        <is>
          <t>Audit Log on Approve and Reject / Data Dictionary</t>
        </is>
      </c>
      <c r="L87" s="15" t="n"/>
      <c r="M87" s="16" t="inlineStr">
        <is>
          <t>Not Executed</t>
        </is>
      </c>
      <c r="N87" s="15" t="n"/>
      <c r="O87" s="17" t="n"/>
      <c r="P87" s="15" t="n"/>
      <c r="Q87" s="14" t="inlineStr">
        <is>
          <t>Automated: HLA-C03 (hour-log-decisions.spec.ts)</t>
        </is>
      </c>
    </row>
    <row r="88" ht="105.6" customHeight="1">
      <c r="A88" s="13" t="inlineStr">
        <is>
          <t>HLA-AU-004</t>
        </is>
      </c>
      <c r="B88" s="14" t="inlineStr">
        <is>
          <t>Audit Log</t>
        </is>
      </c>
      <c r="C88" s="14" t="inlineStr">
        <is>
          <t>Audit available against work order</t>
        </is>
      </c>
      <c r="D88" s="14" t="inlineStr">
        <is>
          <t>Several decisions.</t>
        </is>
      </c>
      <c r="E88" s="14" t="inlineStr">
        <is>
          <t>1. Open WO audit section.</t>
        </is>
      </c>
      <c r="F88" s="14" t="inlineStr">
        <is>
          <t>-</t>
        </is>
      </c>
      <c r="G88" s="14" t="inlineStr">
        <is>
          <t>All decisions listed for the WO.</t>
        </is>
      </c>
      <c r="H88" s="13" t="inlineStr">
        <is>
          <t>P2</t>
        </is>
      </c>
      <c r="I88" s="13" t="inlineStr">
        <is>
          <t>Positive</t>
        </is>
      </c>
      <c r="J88" s="13" t="inlineStr">
        <is>
          <t>Web</t>
        </is>
      </c>
      <c r="K88" s="14" t="inlineStr">
        <is>
          <t>Audit Log on Approve and Reject / Data Dictionary</t>
        </is>
      </c>
      <c r="L88" s="15" t="n"/>
      <c r="M88" s="16" t="inlineStr">
        <is>
          <t>Not Executed</t>
        </is>
      </c>
      <c r="N88" s="15" t="n"/>
      <c r="O88" s="17" t="n"/>
      <c r="P88" s="15" t="n"/>
      <c r="Q88" s="14" t="inlineStr">
        <is>
          <t>Partial: HLA-C03 (hour-log-decisions.spec.ts)</t>
        </is>
      </c>
    </row>
    <row r="89" ht="105.6" customHeight="1">
      <c r="A89" s="13" t="inlineStr">
        <is>
          <t>HLA-AU-005</t>
        </is>
      </c>
      <c r="B89" s="14" t="inlineStr">
        <is>
          <t>Audit Log</t>
        </is>
      </c>
      <c r="C89" s="14" t="inlineStr">
        <is>
          <t>Audit entries are immutable</t>
        </is>
      </c>
      <c r="D89" s="14" t="inlineStr">
        <is>
          <t>Existing audit entry.</t>
        </is>
      </c>
      <c r="E89" s="14" t="inlineStr">
        <is>
          <t>1. Try to edit/delete entry (UI and role with max rights).</t>
        </is>
      </c>
      <c r="F89" s="14" t="inlineStr">
        <is>
          <t>-</t>
        </is>
      </c>
      <c r="G89" s="14" t="inlineStr">
        <is>
          <t>No edit/delete possible.</t>
        </is>
      </c>
      <c r="H89" s="13" t="inlineStr">
        <is>
          <t>P1</t>
        </is>
      </c>
      <c r="I89" s="13" t="inlineStr">
        <is>
          <t>Negative</t>
        </is>
      </c>
      <c r="J89" s="13" t="inlineStr">
        <is>
          <t>Web</t>
        </is>
      </c>
      <c r="K89" s="14" t="inlineStr">
        <is>
          <t>Audit Log on Approve and Reject / Data Dictionary</t>
        </is>
      </c>
      <c r="L89" s="15" t="n"/>
      <c r="M89" s="16" t="inlineStr">
        <is>
          <t>Not Executed</t>
        </is>
      </c>
      <c r="N89" s="15" t="n"/>
      <c r="O89" s="17" t="n"/>
      <c r="P89" s="15" t="n"/>
      <c r="Q89" s="14" t="inlineStr">
        <is>
          <t>Partial: HLA-C03 (hour-log-decisions.spec.ts)</t>
        </is>
      </c>
    </row>
    <row r="90" ht="105.6" customHeight="1">
      <c r="A90" s="13" t="inlineStr">
        <is>
          <t>HLA-AU-006</t>
        </is>
      </c>
      <c r="B90" s="14" t="inlineStr">
        <is>
          <t>Audit Log</t>
        </is>
      </c>
      <c r="C90" s="14" t="inlineStr">
        <is>
          <t>Audit for overnight split and redistribution</t>
        </is>
      </c>
      <c r="D90" s="14" t="inlineStr">
        <is>
          <t>Overnight/overlap decision.</t>
        </is>
      </c>
      <c r="E90" s="14" t="inlineStr">
        <is>
          <t>1. Open audit.</t>
        </is>
      </c>
      <c r="F90" s="14" t="inlineStr">
        <is>
          <t>-</t>
        </is>
      </c>
      <c r="G90" s="14" t="inlineStr">
        <is>
          <t>Split and redistribution recorded correctly.</t>
        </is>
      </c>
      <c r="H90" s="13" t="inlineStr">
        <is>
          <t>P3</t>
        </is>
      </c>
      <c r="I90" s="13" t="inlineStr">
        <is>
          <t>Positive</t>
        </is>
      </c>
      <c r="J90" s="13" t="inlineStr">
        <is>
          <t>Web</t>
        </is>
      </c>
      <c r="K90" s="14" t="inlineStr">
        <is>
          <t>Audit Log on Approve and Reject / Data Dictionary</t>
        </is>
      </c>
      <c r="L90" s="15" t="n"/>
      <c r="M90" s="16" t="inlineStr">
        <is>
          <t>Not Executed</t>
        </is>
      </c>
      <c r="N90" s="15" t="n"/>
      <c r="O90" s="17" t="n"/>
      <c r="P90" s="15" t="n"/>
      <c r="Q90" s="14" t="inlineStr">
        <is>
          <t>Automated: HLA-B11 + HLA-B12 (hour-log-decisions.spec.ts)</t>
        </is>
      </c>
    </row>
    <row r="91" ht="105.6" customHeight="1">
      <c r="A91" s="13" t="inlineStr">
        <is>
          <t>HLA-AU-007</t>
        </is>
      </c>
      <c r="B91" s="14" t="inlineStr">
        <is>
          <t>Audit Log</t>
        </is>
      </c>
      <c r="C91" s="14" t="inlineStr">
        <is>
          <t>No audit on Cancel</t>
        </is>
      </c>
      <c r="D91" s="14" t="inlineStr">
        <is>
          <t>Cancel Adjust/Reject/overlap.</t>
        </is>
      </c>
      <c r="E91" s="14" t="inlineStr">
        <is>
          <t>1. Check audit.</t>
        </is>
      </c>
      <c r="F91" s="14" t="inlineStr">
        <is>
          <t>-</t>
        </is>
      </c>
      <c r="G91" s="14" t="inlineStr">
        <is>
          <t>No audit entry created.</t>
        </is>
      </c>
      <c r="H91" s="13" t="inlineStr">
        <is>
          <t>P2</t>
        </is>
      </c>
      <c r="I91" s="13" t="inlineStr">
        <is>
          <t>Negative</t>
        </is>
      </c>
      <c r="J91" s="13" t="inlineStr">
        <is>
          <t>Web</t>
        </is>
      </c>
      <c r="K91" s="14" t="inlineStr">
        <is>
          <t>Audit Log on Approve and Reject / Data Dictionary</t>
        </is>
      </c>
      <c r="L91" s="15" t="n"/>
      <c r="M91" s="16" t="inlineStr">
        <is>
          <t>Not Executed</t>
        </is>
      </c>
      <c r="N91" s="15" t="n"/>
      <c r="O91" s="17" t="n"/>
      <c r="P91" s="15" t="n"/>
      <c r="Q91" s="14" t="inlineStr">
        <is>
          <t>Automated: HLA-C03 (hour-log-decisions.spec.ts)</t>
        </is>
      </c>
    </row>
    <row r="92" ht="105.6" customHeight="1">
      <c r="A92" s="13" t="inlineStr">
        <is>
          <t>HLA-DD-001</t>
        </is>
      </c>
      <c r="B92" s="14" t="inlineStr">
        <is>
          <t>Data Dictionary &amp; Data Integrity</t>
        </is>
      </c>
      <c r="C92" s="14" t="inlineStr">
        <is>
          <t>Status values</t>
        </is>
      </c>
      <c r="D92" s="14" t="inlineStr">
        <is>
          <t>Requests in each state.</t>
        </is>
      </c>
      <c r="E92" s="14" t="inlineStr">
        <is>
          <t>1. Check statuses.</t>
        </is>
      </c>
      <c r="F92" s="14" t="inlineStr">
        <is>
          <t>-</t>
        </is>
      </c>
      <c r="G92" s="14" t="inlineStr">
        <is>
          <t>Only Needs review, Approved, Adjusted, Rejected.</t>
        </is>
      </c>
      <c r="H92" s="13" t="inlineStr">
        <is>
          <t>P2</t>
        </is>
      </c>
      <c r="I92" s="13" t="inlineStr">
        <is>
          <t>Positive</t>
        </is>
      </c>
      <c r="J92" s="13" t="inlineStr">
        <is>
          <t>Web</t>
        </is>
      </c>
      <c r="K92" s="14" t="inlineStr">
        <is>
          <t>Data Dictionary</t>
        </is>
      </c>
      <c r="L92" s="15" t="n"/>
      <c r="M92" s="16" t="inlineStr">
        <is>
          <t>Not Executed</t>
        </is>
      </c>
      <c r="N92" s="15" t="n"/>
      <c r="O92" s="17" t="n"/>
      <c r="P92" s="15" t="n"/>
      <c r="Q92" s="14" t="inlineStr">
        <is>
          <t>Automated: HLA-C03 (hour-log-decisions.spec.ts)</t>
        </is>
      </c>
    </row>
    <row r="93" ht="105.6" customHeight="1">
      <c r="A93" s="13" t="inlineStr">
        <is>
          <t>HLA-DD-002</t>
        </is>
      </c>
      <c r="B93" s="14" t="inlineStr">
        <is>
          <t>Data Dictionary &amp; Data Integrity</t>
        </is>
      </c>
      <c r="C93" s="14" t="inlineStr">
        <is>
          <t>Final times per decision type</t>
        </is>
      </c>
      <c r="D93" s="14" t="inlineStr">
        <is>
          <t>One approve, adjust, reject.</t>
        </is>
      </c>
      <c r="E93" s="14" t="inlineStr">
        <is>
          <t>1. Check Job Start/End (final).</t>
        </is>
      </c>
      <c r="F93" s="14" t="inlineStr">
        <is>
          <t>-</t>
        </is>
      </c>
      <c r="G93" s="14" t="inlineStr">
        <is>
          <t>Approve = requested; Adjust = manager's; Reject = original.</t>
        </is>
      </c>
      <c r="H93" s="13" t="inlineStr">
        <is>
          <t>P1</t>
        </is>
      </c>
      <c r="I93" s="13" t="inlineStr">
        <is>
          <t>Positive</t>
        </is>
      </c>
      <c r="J93" s="13" t="inlineStr">
        <is>
          <t>Web</t>
        </is>
      </c>
      <c r="K93" s="14" t="inlineStr">
        <is>
          <t>Data Dictionary</t>
        </is>
      </c>
      <c r="L93" s="15" t="n"/>
      <c r="M93" s="16" t="inlineStr">
        <is>
          <t>Not Executed</t>
        </is>
      </c>
      <c r="N93" s="15" t="n"/>
      <c r="O93" s="17" t="n"/>
      <c r="P93" s="15" t="n"/>
      <c r="Q93" s="14" t="inlineStr">
        <is>
          <t>Automated: HLA-C03 (hour-log-decisions.spec.ts)</t>
        </is>
      </c>
    </row>
    <row r="94" ht="105.6" customHeight="1">
      <c r="A94" s="13" t="inlineStr">
        <is>
          <t>HLA-DD-003</t>
        </is>
      </c>
      <c r="B94" s="14" t="inlineStr">
        <is>
          <t>Data Dictionary &amp; Data Integrity</t>
        </is>
      </c>
      <c r="C94" s="14" t="inlineStr">
        <is>
          <t>Change in spent hours formula</t>
        </is>
      </c>
      <c r="D94" s="14" t="inlineStr">
        <is>
          <t>Various requests.</t>
        </is>
      </c>
      <c r="E94" s="14" t="inlineStr">
        <is>
          <t>1. Verify requested − original.</t>
        </is>
      </c>
      <c r="F94" s="14" t="inlineStr">
        <is>
          <t>-</t>
        </is>
      </c>
      <c r="G94" s="14" t="inlineStr">
        <is>
          <t>Correct sign and value, including new entry (original = 0).</t>
        </is>
      </c>
      <c r="H94" s="13" t="inlineStr">
        <is>
          <t>P1</t>
        </is>
      </c>
      <c r="I94" s="13" t="inlineStr">
        <is>
          <t>Positive</t>
        </is>
      </c>
      <c r="J94" s="13" t="inlineStr">
        <is>
          <t>Web</t>
        </is>
      </c>
      <c r="K94" s="14" t="inlineStr">
        <is>
          <t>Data Dictionary</t>
        </is>
      </c>
      <c r="L94" s="15" t="n"/>
      <c r="M94" s="16" t="inlineStr">
        <is>
          <t>Not Executed</t>
        </is>
      </c>
      <c r="N94" s="15" t="n"/>
      <c r="O94" s="17" t="n"/>
      <c r="P94" s="15" t="n"/>
      <c r="Q94" s="14" t="inlineStr">
        <is>
          <t>Partial: HLA-C03 (hour-log-decisions.spec.ts)</t>
        </is>
      </c>
    </row>
    <row r="95" ht="105.6" customHeight="1">
      <c r="A95" s="13" t="inlineStr">
        <is>
          <t>HLA-UI-004</t>
        </is>
      </c>
      <c r="B95" s="14" t="inlineStr">
        <is>
          <t>UI, Compatibility &amp; Non-Functional</t>
        </is>
      </c>
      <c r="C95" s="14" t="inlineStr">
        <is>
          <t>Web browsers</t>
        </is>
      </c>
      <c r="D95" s="14" t="inlineStr">
        <is>
          <t>Chrome, Edge, Firefox, Safari.</t>
        </is>
      </c>
      <c r="E95" s="14" t="inlineStr">
        <is>
          <t>1. Run drawer, adjust, reject, overlap.</t>
        </is>
      </c>
      <c r="F95" s="14" t="inlineStr">
        <is>
          <t>-</t>
        </is>
      </c>
      <c r="G95" s="14" t="inlineStr">
        <is>
          <t>Consistent behaviour.</t>
        </is>
      </c>
      <c r="H95" s="13" t="inlineStr">
        <is>
          <t>P2</t>
        </is>
      </c>
      <c r="I95" s="13" t="inlineStr">
        <is>
          <t>Compatibility</t>
        </is>
      </c>
      <c r="J95" s="13" t="inlineStr">
        <is>
          <t>Web</t>
        </is>
      </c>
      <c r="K95" s="14" t="inlineStr">
        <is>
          <t>General</t>
        </is>
      </c>
      <c r="L95" s="15" t="n"/>
      <c r="M95" s="16" t="inlineStr">
        <is>
          <t>Not Executed</t>
        </is>
      </c>
      <c r="N95" s="15" t="n"/>
      <c r="O95" s="17" t="n"/>
      <c r="P95" s="15" t="n"/>
      <c r="Q95" s="14" t="inlineStr">
        <is>
          <t>Manual: browser matrix (the suite itself runs on Chromium and Firefox).</t>
        </is>
      </c>
    </row>
    <row r="96" ht="39.6" customHeight="1">
      <c r="A96" s="13" t="inlineStr">
        <is>
          <t>HLA-UI-006</t>
        </is>
      </c>
      <c r="B96" s="14" t="inlineStr">
        <is>
          <t>UI, Compatibility &amp; Non-Functional</t>
        </is>
      </c>
      <c r="C96" s="14" t="inlineStr">
        <is>
          <t>Network error on web action</t>
        </is>
      </c>
      <c r="D96" s="14" t="inlineStr">
        <is>
          <t>Network drop during Approve.</t>
        </is>
      </c>
      <c r="E96" s="14" t="inlineStr">
        <is>
          <t>1. Click Approve.</t>
        </is>
      </c>
      <c r="F96" s="14" t="inlineStr">
        <is>
          <t>-</t>
        </is>
      </c>
      <c r="G96" s="14" t="inlineStr">
        <is>
          <t>Error message; no partial update; retry possible.</t>
        </is>
      </c>
      <c r="H96" s="13" t="inlineStr">
        <is>
          <t>P2</t>
        </is>
      </c>
      <c r="I96" s="13" t="inlineStr">
        <is>
          <t>Negative</t>
        </is>
      </c>
      <c r="J96" s="13" t="inlineStr">
        <is>
          <t>Web</t>
        </is>
      </c>
      <c r="K96" s="14" t="inlineStr">
        <is>
          <t>General</t>
        </is>
      </c>
      <c r="L96" s="15" t="n"/>
      <c r="M96" s="16" t="inlineStr">
        <is>
          <t>Not Executed</t>
        </is>
      </c>
      <c r="N96" s="15" t="n"/>
      <c r="O96" s="17" t="n"/>
      <c r="P96" s="15" t="n"/>
      <c r="Q96" s="14" t="inlineStr">
        <is>
          <t>Partial (expected failure: fails on QA today, see FINDINGS #46): HLA-UI-006 (hour-log-decisions.spec.ts)</t>
        </is>
      </c>
    </row>
    <row r="97" ht="105.6" customHeight="1"/>
    <row r="98" ht="26.4" customHeight="1"/>
    <row r="99" ht="105.6" customHeight="1"/>
    <row r="100" ht="105.6" customHeight="1"/>
    <row r="101" ht="105.6" customHeight="1"/>
    <row r="102" ht="105.6" customHeight="1"/>
    <row r="103" ht="105.6" customHeight="1"/>
    <row r="104" ht="105.6" customHeight="1"/>
    <row r="105" ht="105.6" customHeight="1"/>
    <row r="106" ht="26.4" customHeight="1"/>
    <row r="107" ht="26.4" customHeight="1"/>
    <row r="108" ht="66" customHeight="1"/>
    <row r="109" ht="92.40000000000001" customHeight="1"/>
    <row r="110" ht="92.40000000000001" customHeight="1"/>
    <row r="111" ht="26.4" customHeight="1"/>
    <row r="112" ht="92.40000000000001" customHeight="1"/>
    <row r="113" ht="26.4" customHeight="1"/>
    <row r="114" ht="26.4" customHeight="1"/>
    <row r="115" ht="118.8" customHeight="1"/>
    <row r="117" ht="26.4" customHeight="1"/>
    <row r="119" ht="26.4" customHeight="1"/>
    <row r="120" ht="26.4" customHeight="1"/>
    <row r="121" ht="26.4" customHeight="1"/>
    <row r="122" ht="26.4" customHeight="1"/>
    <row r="123" ht="26.4" customHeight="1"/>
    <row r="124" ht="26.4" customHeight="1"/>
    <row r="125" ht="26.4" customHeight="1"/>
    <row r="126" ht="26.4" customHeight="1"/>
    <row r="127" ht="92.40000000000001" customHeight="1"/>
    <row r="128" ht="92.40000000000001" customHeight="1"/>
    <row r="129" ht="92.40000000000001" customHeight="1"/>
    <row r="130" ht="92.40000000000001" customHeight="1"/>
    <row r="131" ht="92.40000000000001" customHeight="1"/>
    <row r="132" ht="105.6" customHeight="1"/>
    <row r="133" ht="105.6" customHeight="1"/>
    <row r="134" ht="105.6" customHeight="1"/>
    <row r="135" ht="92.40000000000001" customHeight="1"/>
    <row r="136" ht="92.40000000000001" customHeight="1"/>
    <row r="137" ht="92.40000000000001" customHeight="1"/>
    <row r="138" ht="105.6" customHeight="1"/>
    <row r="139" ht="105.6" customHeight="1"/>
    <row r="140" ht="105.6" customHeight="1"/>
    <row r="141" ht="105.6" customHeight="1"/>
    <row r="142" ht="105.6" customHeight="1"/>
    <row r="143" ht="105.6" customHeight="1"/>
    <row r="144" ht="105.6" customHeight="1"/>
    <row r="145" ht="105.6" customHeight="1"/>
    <row r="146" ht="105.6" customHeight="1"/>
    <row r="147" ht="26.4" customHeight="1"/>
    <row r="148" ht="26.4" customHeight="1"/>
    <row r="149" ht="105.6" customHeight="1"/>
    <row r="150" ht="105.6" customHeight="1"/>
    <row r="151" ht="105.6" customHeight="1"/>
    <row r="152" ht="26.4" customHeight="1"/>
    <row r="153" ht="105.6" customHeight="1"/>
    <row r="154" ht="105.6" customHeight="1"/>
    <row r="155" ht="26.4" customHeight="1"/>
    <row r="156" ht="26.4" customHeight="1"/>
    <row r="157" ht="105.6" customHeight="1"/>
    <row r="158" ht="105.6" customHeight="1"/>
    <row r="159" ht="105.6" customHeight="1"/>
    <row r="160" ht="105.6" customHeight="1"/>
    <row r="161" ht="105.6" customHeight="1"/>
    <row r="162" ht="105.6" customHeight="1"/>
    <row r="164" ht="105.6" customHeight="1"/>
    <row r="165" ht="105.6" customHeight="1"/>
    <row r="166" ht="105.6" customHeight="1"/>
    <row r="167" ht="105.6" customHeight="1"/>
    <row r="168" ht="105.6" customHeight="1"/>
    <row r="169" ht="105.6" customHeight="1"/>
    <row r="170" ht="105.6" customHeight="1"/>
    <row r="171" ht="105.6" customHeight="1"/>
    <row r="172" ht="105.6" customHeight="1"/>
    <row r="173" ht="105.6" customHeight="1"/>
    <row r="174" ht="105.6" customHeight="1"/>
    <row r="175" ht="105.6" customHeight="1"/>
    <row r="176" ht="105.6" customHeight="1"/>
    <row r="177" ht="105.6" customHeight="1"/>
    <row r="179" ht="105.6" customHeight="1"/>
    <row r="182" ht="52.8" customHeight="1"/>
    <row r="183" ht="26.4" customHeight="1"/>
    <row r="184" ht="26.4" customHeight="1"/>
    <row r="185" ht="39.6" customHeight="1"/>
    <row r="186" ht="26.4" customHeight="1"/>
    <row r="187" ht="26.4" customHeight="1"/>
    <row r="188" ht="39.6" customHeight="1"/>
    <row r="189" ht="26.4" customHeight="1"/>
    <row r="190" ht="26.4" customHeight="1"/>
    <row r="191" ht="26.4" customHeight="1"/>
    <row r="192" ht="26.4" customHeight="1"/>
    <row r="193" ht="105.6" customHeight="1"/>
    <row r="194" ht="26.4" customHeight="1"/>
    <row r="195" ht="26.4" customHeight="1"/>
    <row r="196" ht="26.4" customHeight="1"/>
    <row r="197" ht="105.6" customHeight="1"/>
    <row r="198" ht="26.4" customHeight="1"/>
    <row r="199" ht="26.4" customHeight="1"/>
    <row r="200" ht="26.4" customHeight="1"/>
    <row r="201" ht="26.4" customHeight="1"/>
    <row r="202" ht="26.4" customHeight="1"/>
    <row r="203" ht="66" customHeight="1"/>
    <row r="204" ht="26.4" customHeight="1"/>
    <row r="205" ht="26.4" customHeight="1"/>
    <row r="206" ht="26.4" customHeight="1"/>
    <row r="208" ht="26.4" customHeight="1"/>
    <row r="209" ht="26.4" customHeight="1"/>
    <row r="210" ht="26.4" customHeight="1"/>
    <row r="211" ht="26.4" customHeight="1"/>
    <row r="212" ht="26.4" customHeight="1"/>
    <row r="213" ht="26.4" customHeight="1"/>
    <row r="214" ht="26.4" customHeight="1"/>
    <row r="215" ht="66" customHeight="1"/>
    <row r="216" ht="66" customHeight="1"/>
    <row r="217" ht="26.4" customHeight="1"/>
    <row r="218" ht="26.4" customHeight="1"/>
    <row r="219" ht="26.4" customHeight="1"/>
    <row r="220" ht="26.4" customHeight="1"/>
    <row r="221" ht="26.4" customHeight="1"/>
    <row r="222" ht="26.4" customHeight="1"/>
    <row r="223" ht="26.4" customHeight="1"/>
    <row r="224" ht="26.4" customHeight="1"/>
    <row r="225" ht="26.4" customHeight="1"/>
    <row r="226" ht="26.4" customHeight="1"/>
    <row r="227" ht="26.4" customHeight="1"/>
    <row r="228" ht="26.4" customHeight="1"/>
    <row r="229" ht="26.4" customHeight="1"/>
    <row r="230" ht="26.4" customHeight="1"/>
    <row r="231" ht="26.4" customHeight="1"/>
    <row r="232" ht="26.4" customHeight="1"/>
    <row r="233" ht="26.4" customHeight="1"/>
    <row r="234" ht="26.4" customHeight="1"/>
    <row r="235" ht="26.4" customHeight="1"/>
    <row r="236" ht="26.4" customHeight="1"/>
    <row r="237" ht="26.4" customHeight="1"/>
    <row r="238" ht="26.4" customHeight="1"/>
    <row r="239" ht="26.4" customHeight="1"/>
    <row r="240" ht="26.4" customHeight="1"/>
    <row r="241" ht="26.4" customHeight="1"/>
    <row r="242" ht="26.4" customHeight="1"/>
    <row r="243" ht="26.4" customHeight="1"/>
    <row r="244" ht="26.4" customHeight="1"/>
    <row r="245" ht="26.4" customHeight="1"/>
    <row r="246" ht="26.4" customHeight="1"/>
    <row r="247" ht="26.4" customHeight="1"/>
  </sheetData>
  <autoFilter ref="A1:Q96"/>
  <conditionalFormatting sqref="M2:M96">
    <cfRule type="expression" priority="2" dxfId="3">
      <formula>$M2="Pass"</formula>
    </cfRule>
    <cfRule type="expression" priority="3" dxfId="2">
      <formula>$M2="Fail"</formula>
    </cfRule>
    <cfRule type="expression" priority="4" dxfId="1">
      <formula>$M2="Blocked"</formula>
    </cfRule>
    <cfRule type="expression" priority="5" dxfId="0">
      <formula>$M2="N/A"</formula>
    </cfRule>
  </conditionalFormatting>
  <dataValidations count="2">
    <dataValidation sqref="M2:M96" showDropDown="0" showInputMessage="0" showErrorMessage="0" allowBlank="0" type="list">
      <formula1>"Not Executed,Pass,Fail,Blocked,N/A"</formula1>
    </dataValidation>
    <dataValidation sqref="H2:H96" showDropDown="0" showInputMessage="0" showErrorMessage="0" allowBlank="0" type="list">
      <formula1>"P1,P2,P3,P4"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8" defaultColWidth="8.6640625" defaultRowHeight="14.4"/>
  <cols>
    <col width="9" customWidth="1" min="1" max="1"/>
    <col width="28" customWidth="1" min="2" max="2"/>
    <col width="90" customWidth="1" min="3" max="3"/>
    <col width="14" customWidth="1" min="4" max="4"/>
    <col width="45" customWidth="1" min="5" max="5"/>
    <col width="12" customWidth="1" min="6" max="6"/>
  </cols>
  <sheetData>
    <row r="1">
      <c r="A1" s="4" t="inlineStr">
        <is>
          <t>ID</t>
        </is>
      </c>
      <c r="B1" s="4" t="inlineStr">
        <is>
          <t>Topic</t>
        </is>
      </c>
      <c r="C1" s="4" t="inlineStr">
        <is>
          <t>Question / Gap in Spec</t>
        </is>
      </c>
      <c r="D1" s="4" t="inlineStr">
        <is>
          <t>Raised By</t>
        </is>
      </c>
      <c r="E1" s="4" t="inlineStr">
        <is>
          <t>Answer</t>
        </is>
      </c>
      <c r="F1" s="4" t="inlineStr">
        <is>
          <t>Status</t>
        </is>
      </c>
    </row>
    <row r="2" ht="39.6" customHeight="1">
      <c r="A2" s="14" t="inlineStr">
        <is>
          <t>CL-01</t>
        </is>
      </c>
      <c r="B2" s="14" t="inlineStr">
        <is>
          <t>Mobile entry delete action</t>
        </is>
      </c>
      <c r="C2" s="14" t="inlineStr">
        <is>
          <t>Figure 1 shows a delete icon on each entry but its behaviour is not defined anywhere. Does delete raise a delete request for approval (consistent with 'Nothing Is Applied Without Approval') or delete directly? Is a reason required?</t>
        </is>
      </c>
      <c r="D2" s="14" t="inlineStr">
        <is>
          <t>QA</t>
        </is>
      </c>
      <c r="E2" s="15" t="n"/>
      <c r="F2" s="15" t="inlineStr">
        <is>
          <t>Open</t>
        </is>
      </c>
    </row>
    <row r="3" ht="26.4" customHeight="1">
      <c r="A3" s="14" t="inlineStr">
        <is>
          <t>CL-02</t>
        </is>
      </c>
      <c r="B3" s="14" t="inlineStr">
        <is>
          <t>Redistribution logic</t>
        </is>
      </c>
      <c r="C3" s="14" t="inlineStr">
        <is>
          <t>The algorithm used to redistribute hours on Continue is not defined (trim existing entry, split, prorate?). Expected results for overlap test cases depend on this.</t>
        </is>
      </c>
      <c r="D3" s="14" t="inlineStr">
        <is>
          <t>QA</t>
        </is>
      </c>
      <c r="E3" s="15" t="n"/>
      <c r="F3" s="15" t="inlineStr">
        <is>
          <t>Open</t>
        </is>
      </c>
    </row>
    <row r="4" ht="26.4" customHeight="1">
      <c r="A4" s="14" t="inlineStr">
        <is>
          <t>CL-03</t>
        </is>
      </c>
      <c r="B4" s="14" t="inlineStr">
        <is>
          <t>Pending status on mobile</t>
        </is>
      </c>
      <c r="C4" s="14" t="inlineStr">
        <is>
          <t>The mobile list shows approved entries only. How does the operator see that a request is pending / decided and the manager note?</t>
        </is>
      </c>
      <c r="D4" s="14" t="inlineStr">
        <is>
          <t>QA</t>
        </is>
      </c>
      <c r="E4" s="15" t="n"/>
      <c r="F4" s="15" t="inlineStr">
        <is>
          <t>Open</t>
        </is>
      </c>
    </row>
    <row r="5" ht="26.4" customHeight="1">
      <c r="A5" s="14" t="inlineStr">
        <is>
          <t>CL-04</t>
        </is>
      </c>
      <c r="B5" s="14" t="inlineStr">
        <is>
          <t>Multiple pending requests on one entry</t>
        </is>
      </c>
      <c r="C5" s="14" t="inlineStr">
        <is>
          <t>Can the operator raise a second change request for an entry that already has a pending request? Can he edit/withdraw a pending request?</t>
        </is>
      </c>
      <c r="D5" s="14" t="inlineStr">
        <is>
          <t>QA</t>
        </is>
      </c>
      <c r="E5" s="15" t="n"/>
      <c r="F5" s="15" t="inlineStr">
        <is>
          <t>Open</t>
        </is>
      </c>
    </row>
    <row r="6">
      <c r="A6" s="14" t="inlineStr">
        <is>
          <t>CL-05</t>
        </is>
      </c>
      <c r="B6" s="14" t="inlineStr">
        <is>
          <t>Field lengths</t>
        </is>
      </c>
      <c r="C6" s="14" t="inlineStr">
        <is>
          <t>Maximum length for operator Reason, Manager Note and Rejection Reason is not defined.</t>
        </is>
      </c>
      <c r="D6" s="14" t="inlineStr">
        <is>
          <t>QA</t>
        </is>
      </c>
      <c r="E6" s="15" t="n"/>
      <c r="F6" s="15" t="inlineStr">
        <is>
          <t>Open</t>
        </is>
      </c>
    </row>
    <row r="7" ht="26.4" customHeight="1">
      <c r="A7" s="14" t="inlineStr">
        <is>
          <t>CL-06</t>
        </is>
      </c>
      <c r="B7" s="14" t="inlineStr">
        <is>
          <t>Overnight split minute</t>
        </is>
      </c>
      <c r="C7" s="14" t="inlineStr">
        <is>
          <t>Split is 'up to 11:59 PM' and 'from 12:00 AM' – does the 11:59–12:00 minute get lost? Is the split done on request creation or on approval? How is an end exactly at 12:00 AM handled?</t>
        </is>
      </c>
      <c r="D7" s="14" t="inlineStr">
        <is>
          <t>QA</t>
        </is>
      </c>
      <c r="E7" s="15" t="n"/>
      <c r="F7" s="15" t="inlineStr">
        <is>
          <t>Open</t>
        </is>
      </c>
    </row>
    <row r="8">
      <c r="A8" s="14" t="inlineStr">
        <is>
          <t>CL-07</t>
        </is>
      </c>
      <c r="B8" s="14" t="inlineStr">
        <is>
          <t>Maximum duration / multi-day</t>
        </is>
      </c>
      <c r="C8" s="14" t="inlineStr">
        <is>
          <t>Is there a maximum allowed duration per request? How is a span over multiple midnights handled?</t>
        </is>
      </c>
      <c r="D8" s="14" t="inlineStr">
        <is>
          <t>QA</t>
        </is>
      </c>
      <c r="E8" s="15" t="n"/>
      <c r="F8" s="15" t="inlineStr">
        <is>
          <t>Open</t>
        </is>
      </c>
    </row>
    <row r="9">
      <c r="A9" s="14" t="inlineStr">
        <is>
          <t>CL-08</t>
        </is>
      </c>
      <c r="B9" s="14" t="inlineStr">
        <is>
          <t>Date range rules</t>
        </is>
      </c>
      <c r="C9" s="14" t="inlineStr">
        <is>
          <t>Are future dates/times allowed? Can hours be requested before the WO start date or outside the crop year?</t>
        </is>
      </c>
      <c r="D9" s="14" t="inlineStr">
        <is>
          <t>QA</t>
        </is>
      </c>
      <c r="E9" s="15" t="n"/>
      <c r="F9" s="15" t="inlineStr">
        <is>
          <t>Open</t>
        </is>
      </c>
    </row>
    <row r="10" ht="26.4" customHeight="1">
      <c r="A10" s="14" t="inlineStr">
        <is>
          <t>CL-09</t>
        </is>
      </c>
      <c r="B10" s="14" t="inlineStr">
        <is>
          <t>Other WO statuses</t>
        </is>
      </c>
      <c r="C10" s="14" t="inlineStr">
        <is>
          <t>Only In Progress and Review are covered. Confirm behaviour for Not Started, Completed, Cancelled, On Hold.</t>
        </is>
      </c>
      <c r="D10" s="14" t="inlineStr">
        <is>
          <t>QA</t>
        </is>
      </c>
      <c r="E10" s="15" t="n"/>
      <c r="F10" s="15" t="inlineStr">
        <is>
          <t>Open</t>
        </is>
      </c>
    </row>
    <row r="11">
      <c r="A11" s="14" t="inlineStr">
        <is>
          <t>CL-10</t>
        </is>
      </c>
      <c r="B11" s="14" t="inlineStr">
        <is>
          <t>Completion vs offline requests</t>
        </is>
      </c>
      <c r="C11" s="14" t="inlineStr">
        <is>
          <t>What happens if an offline request syncs after the WO has moved to Review/Completed?</t>
        </is>
      </c>
      <c r="D11" s="14" t="inlineStr">
        <is>
          <t>QA</t>
        </is>
      </c>
      <c r="E11" s="15" t="n"/>
      <c r="F11" s="15" t="inlineStr">
        <is>
          <t>Open</t>
        </is>
      </c>
    </row>
    <row r="12">
      <c r="A12" s="14" t="inlineStr">
        <is>
          <t>CL-11</t>
        </is>
      </c>
      <c r="B12" s="14" t="inlineStr">
        <is>
          <t>Offline timestamps &amp; logout</t>
        </is>
      </c>
      <c r="C12" s="14" t="inlineStr">
        <is>
          <t>Is 'Raised At' the time prepared offline or sync time? What happens on logout with unsynced requests?</t>
        </is>
      </c>
      <c r="D12" s="14" t="inlineStr">
        <is>
          <t>QA</t>
        </is>
      </c>
      <c r="E12" s="15" t="n"/>
      <c r="F12" s="15" t="inlineStr">
        <is>
          <t>Open</t>
        </is>
      </c>
    </row>
    <row r="13" ht="26.4" customHeight="1">
      <c r="A13" s="14" t="inlineStr">
        <is>
          <t>CL-12</t>
        </is>
      </c>
      <c r="B13" s="14" t="inlineStr">
        <is>
          <t>Feature toggle with queued requests</t>
        </is>
      </c>
      <c r="C13" s="14" t="inlineStr">
        <is>
          <t>Behaviour when an offline request syncs after the feature is disabled.</t>
        </is>
      </c>
      <c r="D13" s="14" t="inlineStr">
        <is>
          <t>QA</t>
        </is>
      </c>
      <c r="E13" s="15" t="n"/>
      <c r="F13" s="15" t="inlineStr">
        <is>
          <t>Open</t>
        </is>
      </c>
    </row>
    <row r="14">
      <c r="A14" s="14" t="inlineStr">
        <is>
          <t>CL-13</t>
        </is>
      </c>
      <c r="B14" s="14" t="inlineStr">
        <is>
          <t>Multi-role users</t>
        </is>
      </c>
      <c r="C14" s="14" t="inlineStr">
        <is>
          <t>Tab hidden for Supervisor/Admin/Manager – what if the user also holds Machine Operator role?</t>
        </is>
      </c>
      <c r="D14" s="14" t="inlineStr">
        <is>
          <t>QA</t>
        </is>
      </c>
      <c r="E14" s="15" t="n"/>
      <c r="F14" s="15" t="inlineStr">
        <is>
          <t>Open</t>
        </is>
      </c>
    </row>
    <row r="15" ht="26.4" customHeight="1">
      <c r="A15" s="14" t="inlineStr">
        <is>
          <t>CL-14</t>
        </is>
      </c>
      <c r="B15" s="14" t="inlineStr">
        <is>
          <t>Sorting and decided requests in drawer</t>
        </is>
      </c>
      <c r="C15" s="14" t="inlineStr">
        <is>
          <t>Sort order of mobile entries and web requests; whether decided requests stay in the drawer with a status.</t>
        </is>
      </c>
      <c r="D15" s="14" t="inlineStr">
        <is>
          <t>QA</t>
        </is>
      </c>
      <c r="E15" s="15" t="n"/>
      <c r="F15" s="15" t="inlineStr">
        <is>
          <t>Open</t>
        </is>
      </c>
    </row>
    <row r="16">
      <c r="A16" s="14" t="inlineStr">
        <is>
          <t>CL-15</t>
        </is>
      </c>
      <c r="B16" s="14" t="inlineStr">
        <is>
          <t>Edit pre-fill</t>
        </is>
      </c>
      <c r="C16" s="14" t="inlineStr">
        <is>
          <t>Are Job start/end on 'Request Hour Change' pre-filled with the logged times? Mock shows different values.</t>
        </is>
      </c>
      <c r="D16" s="14" t="inlineStr">
        <is>
          <t>QA</t>
        </is>
      </c>
      <c r="E16" s="15" t="n"/>
      <c r="F16" s="15" t="inlineStr">
        <is>
          <t>Open</t>
        </is>
      </c>
    </row>
    <row r="17">
      <c r="A17" s="14" t="inlineStr">
        <is>
          <t>CL-16</t>
        </is>
      </c>
      <c r="B17" s="14" t="inlineStr">
        <is>
          <t>Asset-only change</t>
        </is>
      </c>
      <c r="C17" s="14" t="inlineStr">
        <is>
          <t>Can a request change only machines/implements with identical times?</t>
        </is>
      </c>
      <c r="D17" s="14" t="inlineStr">
        <is>
          <t>QA</t>
        </is>
      </c>
      <c r="E17" s="15" t="n"/>
      <c r="F17" s="15" t="inlineStr">
        <is>
          <t>Open</t>
        </is>
      </c>
    </row>
    <row r="18" ht="26.4" customHeight="1">
      <c r="A18" s="14" t="inlineStr">
        <is>
          <t>CL-17</t>
        </is>
      </c>
      <c r="B18" s="14" t="inlineStr">
        <is>
          <t>Changing field</t>
        </is>
      </c>
      <c r="C18" s="14" t="inlineStr">
        <is>
          <t>Operator can change Field on edit, but web Adjust has no Field selector. Confirm manager cannot change field, and approval moves the entry to the new field.</t>
        </is>
      </c>
      <c r="D18" s="14" t="inlineStr">
        <is>
          <t>QA</t>
        </is>
      </c>
      <c r="E18" s="15" t="n"/>
      <c r="F18" s="15" t="inlineStr">
        <is>
          <t>Open</t>
        </is>
      </c>
    </row>
    <row r="19" ht="26.4" customHeight="1">
      <c r="A19" s="14" t="inlineStr">
        <is>
          <t>CL-18</t>
        </is>
      </c>
      <c r="B19" s="14" t="inlineStr">
        <is>
          <t>Multiple machines attribution</t>
        </is>
      </c>
      <c r="C19" s="14" t="inlineStr">
        <is>
          <t>When several machines are selected, are the full hours attributed to each machine or split? Impacts utilisation and ERP.</t>
        </is>
      </c>
      <c r="D19" s="14" t="inlineStr">
        <is>
          <t>QA</t>
        </is>
      </c>
      <c r="E19" s="15" t="n"/>
      <c r="F19" s="15" t="inlineStr">
        <is>
          <t>Open</t>
        </is>
      </c>
    </row>
    <row r="20">
      <c r="A20" s="14" t="inlineStr">
        <is>
          <t>CL-19</t>
        </is>
      </c>
      <c r="B20" s="14" t="inlineStr">
        <is>
          <t>Web validation messages</t>
        </is>
      </c>
      <c r="C20" s="14" t="inlineStr">
        <is>
          <t>Messages for web Adjust (no machine) and Reject (no reason) are not specified.</t>
        </is>
      </c>
      <c r="D20" s="14" t="inlineStr">
        <is>
          <t>QA</t>
        </is>
      </c>
      <c r="E20" s="15" t="n"/>
      <c r="F20" s="15" t="inlineStr">
        <is>
          <t>Open</t>
        </is>
      </c>
    </row>
    <row r="21">
      <c r="A21" s="14" t="inlineStr">
        <is>
          <t>CL-20</t>
        </is>
      </c>
      <c r="B21" s="14" t="inlineStr">
        <is>
          <t>Manager note on Adjust</t>
        </is>
      </c>
      <c r="C21" s="14" t="inlineStr">
        <is>
          <t>Is the note mandatory on Adjust? Data dictionary does not mark it mandatory.</t>
        </is>
      </c>
      <c r="D21" s="14" t="inlineStr">
        <is>
          <t>QA</t>
        </is>
      </c>
      <c r="E21" s="15" t="n"/>
      <c r="F21" s="15" t="inlineStr">
        <is>
          <t>Open</t>
        </is>
      </c>
    </row>
    <row r="22">
      <c r="A22" s="14" t="inlineStr">
        <is>
          <t>CL-21</t>
        </is>
      </c>
      <c r="B22" s="14" t="inlineStr">
        <is>
          <t>Reject subtitle for new entry</t>
        </is>
      </c>
      <c r="C22" s="14" t="inlineStr">
        <is>
          <t>Reject subtitle says 'The app's Xh stays as the spent hours' – wording for a new entry with no logged time?</t>
        </is>
      </c>
      <c r="D22" s="14" t="inlineStr">
        <is>
          <t>QA</t>
        </is>
      </c>
      <c r="E22" s="15" t="n"/>
      <c r="F22" s="15" t="inlineStr">
        <is>
          <t>Open</t>
        </is>
      </c>
    </row>
    <row r="23">
      <c r="A23" s="14" t="inlineStr">
        <is>
          <t>CL-22</t>
        </is>
      </c>
      <c r="B23" s="14" t="inlineStr">
        <is>
          <t>Notification details</t>
        </is>
      </c>
      <c r="C23" s="14" t="inlineStr">
        <is>
          <t>Channel (push/in-app/email), recipients, deep link, and whether the operator is notified of decisions.</t>
        </is>
      </c>
      <c r="D23" s="14" t="inlineStr">
        <is>
          <t>QA</t>
        </is>
      </c>
      <c r="E23" s="15" t="n"/>
      <c r="F23" s="15" t="inlineStr">
        <is>
          <t>Open</t>
        </is>
      </c>
    </row>
    <row r="24">
      <c r="A24" s="14" t="inlineStr">
        <is>
          <t>CL-23</t>
        </is>
      </c>
      <c r="B24" s="14" t="inlineStr">
        <is>
          <t>Request number scope</t>
        </is>
      </c>
      <c r="C24" s="14" t="inlineStr">
        <is>
          <t>Is the REQ sequence global, per tenant, or per work order? Behaviour after REQ-9999?</t>
        </is>
      </c>
      <c r="D24" s="14" t="inlineStr">
        <is>
          <t>QA</t>
        </is>
      </c>
      <c r="E24" s="15" t="n"/>
      <c r="F24" s="15" t="inlineStr">
        <is>
          <t>Open</t>
        </is>
      </c>
    </row>
    <row r="25" ht="26.4" customHeight="1">
      <c r="A25" s="14" t="inlineStr">
        <is>
          <t>CL-24</t>
        </is>
      </c>
      <c r="B25" s="14" t="inlineStr">
        <is>
          <t>ERP posting trigger &amp; failure</t>
        </is>
      </c>
      <c r="C25" s="14" t="inlineStr">
        <is>
          <t>Are hours posted on each decision or when the manager confirms spent hours? Retry/error handling if D365 is unavailable?</t>
        </is>
      </c>
      <c r="D25" s="14" t="inlineStr">
        <is>
          <t>QA</t>
        </is>
      </c>
      <c r="E25" s="15" t="n"/>
      <c r="F25" s="15" t="inlineStr">
        <is>
          <t>Open</t>
        </is>
      </c>
    </row>
    <row r="26">
      <c r="A26" s="14" t="inlineStr">
        <is>
          <t>CL-25</t>
        </is>
      </c>
      <c r="B26" s="14" t="inlineStr">
        <is>
          <t>Time zone</t>
        </is>
      </c>
      <c r="C26" s="14" t="inlineStr">
        <is>
          <t>Which time zone is used for display and storage when device and farm time zones differ?</t>
        </is>
      </c>
      <c r="D26" s="14" t="inlineStr">
        <is>
          <t>QA</t>
        </is>
      </c>
      <c r="E26" s="15" t="n"/>
      <c r="F26" s="15" t="inlineStr">
        <is>
          <t>Open</t>
        </is>
      </c>
    </row>
    <row r="27" ht="39.6" customHeight="1">
      <c r="A27" s="14" t="inlineStr">
        <is>
          <t>CL-26</t>
        </is>
      </c>
      <c r="B27" s="14" t="inlineStr">
        <is>
          <t>Mock inconsistency</t>
        </is>
      </c>
      <c r="C27" s="14" t="inlineStr">
        <is>
          <t>Figure 2 lists selected machines as Kinze 1051 (AST-0203) and Case IH 8250 (AST-0187), while Figure 3 shows John Deere 8R 410 and Kinze 1051 ticked for the same form. Mobile dropdown also described as both 'multi-select' and 'searchable'.</t>
        </is>
      </c>
      <c r="D27" s="14" t="inlineStr">
        <is>
          <t>QA</t>
        </is>
      </c>
      <c r="E27" s="15" t="n"/>
      <c r="F27" s="15" t="inlineStr">
        <is>
          <t>Open</t>
        </is>
      </c>
    </row>
  </sheetData>
  <dataValidations count="1">
    <dataValidation sqref="F2:F27" showDropDown="0" showInputMessage="0" showErrorMessage="0" allowBlank="0" type="list">
      <formula1>"Open,Answered,Closed"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2026-09-28T07:47:05Z</dcterms:created>
  <dcterms:modified xsi:type="dcterms:W3CDTF">2026-09-29T15:48:25Z</dcterms:modified>
  <cp:lastModifiedBy>Zujaj Misbah Khan</cp:lastModifiedBy>
  <cp:revision>0</cp:revision>
</cp:coreProperties>
</file>